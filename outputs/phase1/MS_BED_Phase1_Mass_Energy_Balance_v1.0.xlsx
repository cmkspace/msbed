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Inputs" sheetId="2" state="visible" r:id="rId4"/>
    <sheet name="2_AdsLoad" sheetId="3" state="visible" r:id="rId5"/>
    <sheet name="3_Column" sheetId="4" state="visible" r:id="rId6"/>
    <sheet name="4_Regeneration" sheetId="5" state="visible" r:id="rId7"/>
    <sheet name="5_Compressor" sheetId="6" state="visible" r:id="rId8"/>
    <sheet name="6_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<sst xmlns="http://schemas.openxmlformats.org/spreadsheetml/2006/main" count="613" uniqueCount="400">
  <si>
    <t xml:space="preserve">MS BED Pilot 200 Nm³/h — Phase 1 Mass &amp; Energy Balance</t>
  </si>
  <si>
    <t xml:space="preserve">Project</t>
  </si>
  <si>
    <r>
      <rPr>
        <sz val="10"/>
        <rFont val="Arial"/>
        <family val="0"/>
        <charset val="1"/>
      </rPr>
      <t xml:space="preserve">MS BED </t>
    </r>
    <r>
      <rPr>
        <sz val="10"/>
        <rFont val="Noto Sans CJK SC"/>
        <family val="2"/>
      </rPr>
      <t xml:space="preserve">시험장치 </t>
    </r>
    <r>
      <rPr>
        <sz val="10"/>
        <rFont val="Arial"/>
        <family val="0"/>
        <charset val="1"/>
      </rPr>
      <t xml:space="preserve">(Twin-bed TSA, Dry Air Pretreatment)</t>
    </r>
  </si>
  <si>
    <t xml:space="preserve">Capacity</t>
  </si>
  <si>
    <t xml:space="preserve">200 Nm³/h, P=5 bar(g), T_in=15°C, Layered Alumina + 13X</t>
  </si>
  <si>
    <t xml:space="preserve">Target</t>
  </si>
  <si>
    <t xml:space="preserve">CO₂ &lt; 0.1 ppm, H₂O &lt; 0.1 ppm (dewpoint ≈ -76°C, ASU-grade)</t>
  </si>
  <si>
    <t xml:space="preserve">Cycle</t>
  </si>
  <si>
    <t xml:space="preserve">Adsorption 4 h / Regeneration 4 h (heat 2 h + cool 1.5 h + buffer)</t>
  </si>
  <si>
    <t xml:space="preserve">Regen Temperature</t>
  </si>
  <si>
    <t xml:space="preserve">180–200 °C (Set: 200 °C for full 13X desorption)</t>
  </si>
  <si>
    <t xml:space="preserve">Conservative bias</t>
  </si>
  <si>
    <t xml:space="preserve">Alumina dynamic loading 6 wt% / 13X dynamic loading 3 wt% (oversize for test rig)</t>
  </si>
  <si>
    <t xml:space="preserve">Document version</t>
  </si>
  <si>
    <t xml:space="preserve">DBD v1.0 — LOCKED (2026-05-06)</t>
  </si>
  <si>
    <r>
      <rPr>
        <b val="true"/>
        <sz val="12"/>
        <color rgb="FFFFFFFF"/>
        <rFont val="Arial"/>
        <family val="0"/>
        <charset val="1"/>
      </rPr>
      <t xml:space="preserve">Workbook Structure (</t>
    </r>
    <r>
      <rPr>
        <b val="true"/>
        <sz val="12"/>
        <color rgb="FFFFFFFF"/>
        <rFont val="Noto Sans CJK SC"/>
        <family val="2"/>
      </rPr>
      <t xml:space="preserve">계산 흐름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</si>
  <si>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Sheet</t>
  </si>
  <si>
    <t xml:space="preserve">Purpose</t>
  </si>
  <si>
    <t xml:space="preserve">1_Inputs</t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</si>
  <si>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DBD </t>
    </r>
    <r>
      <rPr>
        <sz val="10"/>
        <rFont val="Noto Sans CJK SC"/>
        <family val="2"/>
      </rPr>
      <t xml:space="preserve">확정값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가스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흡착제 물성 </t>
    </r>
    <r>
      <rPr>
        <sz val="10"/>
        <rFont val="Arial"/>
        <family val="0"/>
        <charset val="1"/>
      </rPr>
      <t xml:space="preserve">(← </t>
    </r>
    <r>
      <rPr>
        <sz val="10"/>
        <rFont val="Noto Sans CJK SC"/>
        <family val="2"/>
      </rPr>
      <t xml:space="preserve">여기만 수정하면 전체 자동 갱신</t>
    </r>
    <r>
      <rPr>
        <sz val="10"/>
        <rFont val="Arial"/>
        <family val="0"/>
        <charset val="1"/>
      </rPr>
      <t xml:space="preserve">)</t>
    </r>
  </si>
  <si>
    <t xml:space="preserve">2_AdsLoad</t>
  </si>
  <si>
    <r>
      <rPr>
        <sz val="10"/>
        <rFont val="Noto Sans CJK SC"/>
        <family val="2"/>
      </rPr>
      <t xml:space="preserve">단위 환산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입구 조성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흡착 부하 </t>
    </r>
    <r>
      <rPr>
        <sz val="10"/>
        <rFont val="Arial"/>
        <family val="0"/>
        <charset val="1"/>
      </rPr>
      <t xml:space="preserve">(kg/h, kg/cycle)</t>
    </r>
  </si>
  <si>
    <t xml:space="preserve">3_Column</t>
  </si>
  <si>
    <r>
      <rPr>
        <sz val="10"/>
        <rFont val="Noto Sans CJK SC"/>
        <family val="2"/>
      </rPr>
      <t xml:space="preserve">흡착제 충진량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컬럼 직경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높이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표면속도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압력강하</t>
    </r>
  </si>
  <si>
    <t xml:space="preserve">4_Regeneration</t>
  </si>
  <si>
    <r>
      <rPr>
        <sz val="10"/>
        <rFont val="Noto Sans CJK SC"/>
        <family val="2"/>
      </rPr>
      <t xml:space="preserve">재생 열량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히터 용량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재생가스 유량</t>
    </r>
  </si>
  <si>
    <t xml:space="preserve">5_Compressor</t>
  </si>
  <si>
    <r>
      <rPr>
        <sz val="10"/>
        <rFont val="Noto Sans CJK SC"/>
        <family val="2"/>
      </rPr>
      <t xml:space="preserve">압축기 등엔트로피 동력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모터 사양</t>
    </r>
  </si>
  <si>
    <t xml:space="preserve">6_Summary</t>
  </si>
  <si>
    <r>
      <rPr>
        <sz val="10"/>
        <rFont val="Noto Sans CJK SC"/>
        <family val="2"/>
      </rPr>
      <t xml:space="preserve">최종 결과 한눈에 — 기기 </t>
    </r>
    <r>
      <rPr>
        <sz val="10"/>
        <rFont val="Arial"/>
        <family val="0"/>
        <charset val="1"/>
      </rPr>
      <t xml:space="preserve">RFQ </t>
    </r>
    <r>
      <rPr>
        <sz val="10"/>
        <rFont val="Noto Sans CJK SC"/>
        <family val="2"/>
      </rPr>
      <t xml:space="preserve">작성용</t>
    </r>
  </si>
  <si>
    <r>
      <rPr>
        <b val="true"/>
        <sz val="12"/>
        <color rgb="FFFFFFFF"/>
        <rFont val="Arial"/>
        <family val="0"/>
        <charset val="1"/>
      </rPr>
      <t xml:space="preserve">Color Convention (</t>
    </r>
    <r>
      <rPr>
        <b val="true"/>
        <sz val="12"/>
        <color rgb="FFFFFFFF"/>
        <rFont val="Noto Sans CJK SC"/>
        <family val="2"/>
      </rPr>
      <t xml:space="preserve">셀 색상 규칙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</si>
  <si>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Color</t>
  </si>
  <si>
    <t xml:space="preserve">Meaning</t>
  </si>
  <si>
    <t xml:space="preserve">Example</t>
  </si>
  <si>
    <r>
      <rPr>
        <b val="true"/>
        <sz val="10"/>
        <color rgb="FF0000FF"/>
        <rFont val="Arial"/>
        <family val="0"/>
        <charset val="1"/>
      </rPr>
      <t xml:space="preserve">Blue (</t>
    </r>
    <r>
      <rPr>
        <b val="true"/>
        <sz val="10"/>
        <color rgb="FF0000FF"/>
        <rFont val="Noto Sans CJK SC"/>
        <family val="2"/>
      </rPr>
      <t xml:space="preserve">파랑</t>
    </r>
    <r>
      <rPr>
        <b val="true"/>
        <sz val="10"/>
        <color rgb="FF0000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</si>
  <si>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Hardcoded input — </t>
    </r>
    <r>
      <rPr>
        <sz val="10"/>
        <rFont val="Noto Sans CJK SC"/>
        <family val="2"/>
      </rPr>
      <t xml:space="preserve">사용자가 변경하는 값</t>
    </r>
  </si>
  <si>
    <t xml:space="preserve">200, 6.0, 0.06</t>
  </si>
  <si>
    <r>
      <rPr>
        <sz val="10"/>
        <color rgb="FF000000"/>
        <rFont val="Arial"/>
        <family val="0"/>
        <charset val="1"/>
      </rPr>
      <t xml:space="preserve">Black (</t>
    </r>
    <r>
      <rPr>
        <sz val="10"/>
        <color rgb="FF000000"/>
        <rFont val="Noto Sans CJK SC"/>
        <family val="2"/>
      </rPr>
      <t xml:space="preserve">검정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</si>
  <si>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Formula — </t>
    </r>
    <r>
      <rPr>
        <sz val="10"/>
        <rFont val="Noto Sans CJK SC"/>
        <family val="2"/>
      </rPr>
      <t xml:space="preserve">다른 셀로부터 계산</t>
    </r>
  </si>
  <si>
    <r>
      <rPr>
        <sz val="10"/>
        <rFont val="Arial"/>
        <family val="0"/>
        <charset val="1"/>
      </rPr>
      <t xml:space="preserve">B5*B7 (</t>
    </r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</si>
  <si>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r>
      <rPr>
        <sz val="10"/>
        <color rgb="FF008000"/>
        <rFont val="Arial"/>
        <family val="0"/>
        <charset val="1"/>
      </rPr>
      <t xml:space="preserve">Green (</t>
    </r>
    <r>
      <rPr>
        <sz val="10"/>
        <color rgb="FF008000"/>
        <rFont val="Noto Sans CJK SC"/>
        <family val="2"/>
      </rPr>
      <t xml:space="preserve">녹색</t>
    </r>
    <r>
      <rPr>
        <sz val="10"/>
        <color rgb="FF008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</si>
  <si>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Cross-sheet link — </t>
    </r>
    <r>
      <rPr>
        <sz val="10"/>
        <rFont val="Noto Sans CJK SC"/>
        <family val="2"/>
      </rPr>
      <t xml:space="preserve">다른 시트 참조</t>
    </r>
  </si>
  <si>
    <r>
      <rPr>
        <sz val="10"/>
        <rFont val="Arial"/>
        <family val="0"/>
        <charset val="1"/>
      </rPr>
      <t xml:space="preserve">Sheet1!A5 </t>
    </r>
    <r>
      <rPr>
        <sz val="10"/>
        <rFont val="Noto Sans CJK SC"/>
        <family val="2"/>
      </rPr>
      <t xml:space="preserve">참조</t>
    </r>
  </si>
  <si>
    <t xml:space="preserve">Yellow BG</t>
  </si>
  <si>
    <r>
      <rPr>
        <sz val="10"/>
        <rFont val="Arial"/>
        <family val="0"/>
        <charset val="1"/>
      </rPr>
      <t xml:space="preserve">Key assumption — </t>
    </r>
    <r>
      <rPr>
        <sz val="10"/>
        <rFont val="Noto Sans CJK SC"/>
        <family val="2"/>
      </rPr>
      <t xml:space="preserve">결과에 큰 영향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신중 검토</t>
    </r>
  </si>
  <si>
    <t xml:space="preserve">Dynamic loading</t>
  </si>
  <si>
    <t xml:space="preserve">Light Green BG</t>
  </si>
  <si>
    <r>
      <rPr>
        <sz val="10"/>
        <rFont val="Arial"/>
        <family val="0"/>
        <charset val="1"/>
      </rPr>
      <t xml:space="preserve">Final result — </t>
    </r>
    <r>
      <rPr>
        <sz val="10"/>
        <rFont val="Noto Sans CJK SC"/>
        <family val="2"/>
      </rPr>
      <t xml:space="preserve">외부에 인용되는 결과</t>
    </r>
  </si>
  <si>
    <t xml:space="preserve">Column diameter</t>
  </si>
  <si>
    <t xml:space="preserve">How to use this workbook</t>
  </si>
  <si>
    <r>
      <rPr>
        <sz val="10"/>
        <rFont val="Arial"/>
        <family val="0"/>
        <charset val="1"/>
      </rPr>
      <t xml:space="preserve">Step 1) Sheet "1_Inputs" </t>
    </r>
    <r>
      <rPr>
        <sz val="10"/>
        <rFont val="Noto Sans CJK SC"/>
        <family val="2"/>
      </rPr>
      <t xml:space="preserve">의 파란색 셀만 수정하세요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시트의 모든 값이 자동으로 갱신됩니다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</si>
  <si>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Step 2) </t>
    </r>
    <r>
      <rPr>
        <sz val="10"/>
        <rFont val="Noto Sans CJK SC"/>
        <family val="2"/>
      </rPr>
      <t xml:space="preserve">시트 순서대로 </t>
    </r>
    <r>
      <rPr>
        <sz val="10"/>
        <rFont val="Arial"/>
        <family val="0"/>
        <charset val="1"/>
      </rPr>
      <t xml:space="preserve">(2 → 3 → 4 → 5) </t>
    </r>
    <r>
      <rPr>
        <sz val="10"/>
        <rFont val="Noto Sans CJK SC"/>
        <family val="2"/>
      </rPr>
      <t xml:space="preserve">계산 흐름을 따라가며 각 결과의 물리적 의미를 확인하세요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</si>
  <si>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Step 3) "6_Summary" 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RFQ</t>
    </r>
    <r>
      <rPr>
        <sz val="10"/>
        <rFont val="Noto Sans CJK SC"/>
        <family val="2"/>
      </rPr>
      <t xml:space="preserve">에 그대로 사용할 최종 사양을 확인할 수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</si>
  <si>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Step 4) </t>
    </r>
    <r>
      <rPr>
        <sz val="10"/>
        <rFont val="Noto Sans CJK SC"/>
        <family val="2"/>
      </rPr>
      <t xml:space="preserve">가정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사이클 시간 </t>
    </r>
    <r>
      <rPr>
        <sz val="10"/>
        <rFont val="Arial"/>
        <family val="0"/>
        <charset val="1"/>
      </rPr>
      <t xml:space="preserve">4h → 3h) </t>
    </r>
    <r>
      <rPr>
        <sz val="10"/>
        <rFont val="Noto Sans CJK SC"/>
        <family val="2"/>
      </rPr>
      <t xml:space="preserve">후 결과 변동을 확인하여 민감도 감각을 잡으세요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</si>
  <si>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Step 5) </t>
    </r>
    <r>
      <rPr>
        <sz val="10"/>
        <rFont val="Noto Sans CJK SC"/>
        <family val="2"/>
      </rPr>
      <t xml:space="preserve">이 엑셀이 </t>
    </r>
    <r>
      <rPr>
        <sz val="10"/>
        <rFont val="Arial"/>
        <family val="0"/>
        <charset val="1"/>
      </rPr>
      <t xml:space="preserve">SSOT </t>
    </r>
    <r>
      <rPr>
        <sz val="10"/>
        <rFont val="Noto Sans CJK SC"/>
        <family val="2"/>
      </rPr>
      <t xml:space="preserve">역할 — 이후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시뮬레이션의 입력값으로 그대로 사용됩니다</t>
    </r>
    <r>
      <rPr>
        <sz val="10"/>
        <rFont val="Arial"/>
        <family val="0"/>
        <charset val="1"/>
      </rPr>
      <t xml:space="preserve">.</t>
    </r>
  </si>
  <si>
    <t xml:space="preserve">Inputs — DBD-locked Values &amp; Physical Properties</t>
  </si>
  <si>
    <r>
      <rPr>
        <b val="true"/>
        <sz val="12"/>
        <color rgb="FFFFFFFF"/>
        <rFont val="Arial"/>
        <family val="0"/>
        <charset val="1"/>
      </rPr>
      <t xml:space="preserve">A. Process Conditions (</t>
    </r>
    <r>
      <rPr>
        <b val="true"/>
        <sz val="12"/>
        <color rgb="FFFFFFFF"/>
        <rFont val="Noto Sans CJK SC"/>
        <family val="2"/>
      </rPr>
      <t xml:space="preserve">확정 운전조건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</si>
  <si>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Parameter</t>
  </si>
  <si>
    <t xml:space="preserve">Value</t>
  </si>
  <si>
    <t xml:space="preserve">Unit</t>
  </si>
  <si>
    <t xml:space="preserve">Note / Source</t>
  </si>
  <si>
    <t xml:space="preserve">Standard flow rate (0°C, 1 atm)</t>
  </si>
  <si>
    <t xml:space="preserve">Nm³/h</t>
  </si>
  <si>
    <r>
      <rPr>
        <i val="true"/>
        <sz val="9"/>
        <color rgb="FF606060"/>
        <rFont val="Arial"/>
        <family val="0"/>
        <charset val="1"/>
      </rPr>
      <t xml:space="preserve">DBD locked — </t>
    </r>
    <r>
      <rPr>
        <i val="true"/>
        <sz val="9"/>
        <color rgb="FF606060"/>
        <rFont val="Noto Sans CJK SC"/>
        <family val="2"/>
      </rPr>
      <t xml:space="preserve">처리유량 기준</t>
    </r>
  </si>
  <si>
    <t xml:space="preserve">Operating gauge pressure</t>
  </si>
  <si>
    <t xml:space="preserve">bar(g)</t>
  </si>
  <si>
    <t xml:space="preserve">압축기 토출 후 컬럼 입구</t>
  </si>
  <si>
    <t xml:space="preserve">Atmospheric pressure</t>
  </si>
  <si>
    <t xml:space="preserve">bar(a)</t>
  </si>
  <si>
    <t xml:space="preserve">표준 대기압</t>
  </si>
  <si>
    <t xml:space="preserve">Inlet temperature</t>
  </si>
  <si>
    <t xml:space="preserve">°C</t>
  </si>
  <si>
    <r>
      <rPr>
        <i val="true"/>
        <sz val="9"/>
        <color rgb="FF606060"/>
        <rFont val="Noto Sans CJK SC"/>
        <family val="2"/>
      </rPr>
      <t xml:space="preserve">수세냉각탑 출구 </t>
    </r>
    <r>
      <rPr>
        <i val="true"/>
        <sz val="9"/>
        <color rgb="FF606060"/>
        <rFont val="Arial"/>
        <family val="0"/>
        <charset val="1"/>
      </rPr>
      <t xml:space="preserve">(</t>
    </r>
    <r>
      <rPr>
        <i val="true"/>
        <sz val="9"/>
        <color rgb="FF606060"/>
        <rFont val="Noto Sans CJK SC"/>
        <family val="2"/>
      </rPr>
      <t xml:space="preserve">입구 포화 가정</t>
    </r>
    <r>
      <rPr>
        <i val="true"/>
        <sz val="9"/>
        <color rgb="FF606060"/>
        <rFont val="Arial"/>
        <family val="0"/>
        <charset val="1"/>
      </rPr>
      <t xml:space="preserve">)</t>
    </r>
  </si>
  <si>
    <t xml:space="preserve">Standard temperature (Nm³ ref)</t>
  </si>
  <si>
    <t xml:space="preserve">Nm³ definition: 0°C, 1 atm</t>
  </si>
  <si>
    <t xml:space="preserve">Inlet relative humidity</t>
  </si>
  <si>
    <t xml:space="preserve">%</t>
  </si>
  <si>
    <r>
      <rPr>
        <i val="true"/>
        <sz val="9"/>
        <color rgb="FF606060"/>
        <rFont val="Arial"/>
        <family val="0"/>
        <charset val="1"/>
      </rPr>
      <t xml:space="preserve">15°C </t>
    </r>
    <r>
      <rPr>
        <i val="true"/>
        <sz val="9"/>
        <color rgb="FF606060"/>
        <rFont val="Noto Sans CJK SC"/>
        <family val="2"/>
      </rPr>
      <t xml:space="preserve">포화 </t>
    </r>
    <r>
      <rPr>
        <i val="true"/>
        <sz val="9"/>
        <color rgb="FF606060"/>
        <rFont val="Arial"/>
        <family val="0"/>
        <charset val="1"/>
      </rPr>
      <t xml:space="preserve">(</t>
    </r>
    <r>
      <rPr>
        <i val="true"/>
        <sz val="9"/>
        <color rgb="FF606060"/>
        <rFont val="Noto Sans CJK SC"/>
        <family val="2"/>
      </rPr>
      <t xml:space="preserve">보수적 가정</t>
    </r>
    <r>
      <rPr>
        <i val="true"/>
        <sz val="9"/>
        <color rgb="FF606060"/>
        <rFont val="Arial"/>
        <family val="0"/>
        <charset val="1"/>
      </rPr>
      <t xml:space="preserve">)</t>
    </r>
  </si>
  <si>
    <t xml:space="preserve">Inlet CO₂ concentration</t>
  </si>
  <si>
    <t xml:space="preserve">ppm(v)</t>
  </si>
  <si>
    <t xml:space="preserve">대기 평균치</t>
  </si>
  <si>
    <t xml:space="preserve">Outlet CO₂ target</t>
  </si>
  <si>
    <r>
      <rPr>
        <i val="true"/>
        <sz val="9"/>
        <color rgb="FF606060"/>
        <rFont val="Arial"/>
        <family val="0"/>
        <charset val="1"/>
      </rPr>
      <t xml:space="preserve">ASU </t>
    </r>
    <r>
      <rPr>
        <i val="true"/>
        <sz val="9"/>
        <color rgb="FF606060"/>
        <rFont val="Noto Sans CJK SC"/>
        <family val="2"/>
      </rPr>
      <t xml:space="preserve">사양 </t>
    </r>
    <r>
      <rPr>
        <i val="true"/>
        <sz val="9"/>
        <color rgb="FF606060"/>
        <rFont val="Arial"/>
        <family val="0"/>
        <charset val="1"/>
      </rPr>
      <t xml:space="preserve">(Cold Box freezing </t>
    </r>
    <r>
      <rPr>
        <i val="true"/>
        <sz val="9"/>
        <color rgb="FF606060"/>
        <rFont val="Noto Sans CJK SC"/>
        <family val="2"/>
      </rPr>
      <t xml:space="preserve">방지</t>
    </r>
    <r>
      <rPr>
        <i val="true"/>
        <sz val="9"/>
        <color rgb="FF606060"/>
        <rFont val="Arial"/>
        <family val="0"/>
        <charset val="1"/>
      </rPr>
      <t xml:space="preserve">)</t>
    </r>
  </si>
  <si>
    <t xml:space="preserve">Adsorption time per cycle</t>
  </si>
  <si>
    <t xml:space="preserve">h</t>
  </si>
  <si>
    <t xml:space="preserve">고정값 설계</t>
  </si>
  <si>
    <t xml:space="preserve">Heating duration</t>
  </si>
  <si>
    <r>
      <rPr>
        <i val="true"/>
        <sz val="9"/>
        <color rgb="FF606060"/>
        <rFont val="Noto Sans CJK SC"/>
        <family val="2"/>
      </rPr>
      <t xml:space="preserve">재생 </t>
    </r>
    <r>
      <rPr>
        <i val="true"/>
        <sz val="9"/>
        <color rgb="FF606060"/>
        <rFont val="Arial"/>
        <family val="0"/>
        <charset val="1"/>
      </rPr>
      <t xml:space="preserve">4h </t>
    </r>
    <r>
      <rPr>
        <i val="true"/>
        <sz val="9"/>
        <color rgb="FF606060"/>
        <rFont val="Noto Sans CJK SC"/>
        <family val="2"/>
      </rPr>
      <t xml:space="preserve">중 가열 단계</t>
    </r>
  </si>
  <si>
    <t xml:space="preserve">Cooling duration</t>
  </si>
  <si>
    <r>
      <rPr>
        <i val="true"/>
        <sz val="9"/>
        <color rgb="FF606060"/>
        <rFont val="Noto Sans CJK SC"/>
        <family val="2"/>
      </rPr>
      <t xml:space="preserve">재생 </t>
    </r>
    <r>
      <rPr>
        <i val="true"/>
        <sz val="9"/>
        <color rgb="FF606060"/>
        <rFont val="Arial"/>
        <family val="0"/>
        <charset val="1"/>
      </rPr>
      <t xml:space="preserve">4h </t>
    </r>
    <r>
      <rPr>
        <i val="true"/>
        <sz val="9"/>
        <color rgb="FF606060"/>
        <rFont val="Noto Sans CJK SC"/>
        <family val="2"/>
      </rPr>
      <t xml:space="preserve">중 냉각 단계</t>
    </r>
  </si>
  <si>
    <t xml:space="preserve">Regeneration peak temperature</t>
  </si>
  <si>
    <r>
      <rPr>
        <i val="true"/>
        <sz val="9"/>
        <color rgb="FF606060"/>
        <rFont val="Arial"/>
        <family val="0"/>
        <charset val="1"/>
      </rPr>
      <t xml:space="preserve">13X </t>
    </r>
    <r>
      <rPr>
        <i val="true"/>
        <sz val="9"/>
        <color rgb="FF606060"/>
        <rFont val="Noto Sans CJK SC"/>
        <family val="2"/>
      </rPr>
      <t xml:space="preserve">완전탈착 보장</t>
    </r>
  </si>
  <si>
    <t xml:space="preserve">Regen gas / feed flow ratio</t>
  </si>
  <si>
    <t xml:space="preserve">-</t>
  </si>
  <si>
    <r>
      <rPr>
        <i val="true"/>
        <sz val="9"/>
        <color rgb="FF606060"/>
        <rFont val="Noto Sans CJK SC"/>
        <family val="2"/>
      </rPr>
      <t xml:space="preserve">재생가스 유량 </t>
    </r>
    <r>
      <rPr>
        <i val="true"/>
        <sz val="9"/>
        <color rgb="FF606060"/>
        <rFont val="Arial"/>
        <family val="0"/>
        <charset val="1"/>
      </rPr>
      <t xml:space="preserve">/ </t>
    </r>
    <r>
      <rPr>
        <i val="true"/>
        <sz val="9"/>
        <color rgb="FF606060"/>
        <rFont val="Noto Sans CJK SC"/>
        <family val="2"/>
      </rPr>
      <t xml:space="preserve">흡착유량 </t>
    </r>
    <r>
      <rPr>
        <i val="true"/>
        <sz val="9"/>
        <color rgb="FF606060"/>
        <rFont val="Arial"/>
        <family val="0"/>
        <charset val="1"/>
      </rPr>
      <t xml:space="preserve">(</t>
    </r>
    <r>
      <rPr>
        <i val="true"/>
        <sz val="9"/>
        <color rgb="FF606060"/>
        <rFont val="Noto Sans CJK SC"/>
        <family val="2"/>
      </rPr>
      <t xml:space="preserve">보수</t>
    </r>
    <r>
      <rPr>
        <i val="true"/>
        <sz val="9"/>
        <color rgb="FF606060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</si>
  <si>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B. Adsorbent Properties (</t>
    </r>
    <r>
      <rPr>
        <b val="true"/>
        <sz val="12"/>
        <color rgb="FFFFFFFF"/>
        <rFont val="Noto Sans CJK SC"/>
        <family val="2"/>
      </rPr>
      <t xml:space="preserve">보수적 가정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</si>
  <si>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Activated Alumina — dynamic H₂O loading</t>
  </si>
  <si>
    <t xml:space="preserve">kg/kg</t>
  </si>
  <si>
    <r>
      <rPr>
        <i val="true"/>
        <sz val="9"/>
        <color rgb="FF606060"/>
        <rFont val="Arial"/>
        <family val="0"/>
        <charset val="1"/>
      </rPr>
      <t xml:space="preserve">6 wt% (</t>
    </r>
    <r>
      <rPr>
        <i val="true"/>
        <sz val="9"/>
        <color rgb="FF606060"/>
        <rFont val="Noto Sans CJK SC"/>
        <family val="2"/>
      </rPr>
      <t xml:space="preserve">보수</t>
    </r>
    <r>
      <rPr>
        <i val="true"/>
        <sz val="9"/>
        <color rgb="FF606060"/>
        <rFont val="Arial"/>
        <family val="0"/>
        <charset val="1"/>
      </rPr>
      <t xml:space="preserve">, </t>
    </r>
    <r>
      <rPr>
        <i val="true"/>
        <sz val="9"/>
        <color rgb="FF606060"/>
        <rFont val="Noto Sans CJK SC"/>
        <family val="2"/>
      </rPr>
      <t xml:space="preserve">일반 </t>
    </r>
    <r>
      <rPr>
        <i val="true"/>
        <sz val="9"/>
        <color rgb="FF606060"/>
        <rFont val="Arial"/>
        <family val="0"/>
        <charset val="1"/>
      </rPr>
      <t xml:space="preserve">8–10% → </t>
    </r>
    <r>
      <rPr>
        <i val="true"/>
        <sz val="9"/>
        <color rgb="FF606060"/>
        <rFont val="Noto Sans CJK SC"/>
        <family val="2"/>
      </rPr>
      <t xml:space="preserve">안전쪽</t>
    </r>
    <r>
      <rPr>
        <i val="true"/>
        <sz val="9"/>
        <color rgb="FF606060"/>
        <rFont val="Arial"/>
        <family val="0"/>
        <charset val="1"/>
      </rPr>
      <t xml:space="preserve">)</t>
    </r>
  </si>
  <si>
    <t xml:space="preserve">Activated Alumina — bulk density</t>
  </si>
  <si>
    <t xml:space="preserve">kg/m³</t>
  </si>
  <si>
    <t xml:space="preserve">Typical AA F-200/equivalent</t>
  </si>
  <si>
    <t xml:space="preserve">Activated Alumina — heat capacity</t>
  </si>
  <si>
    <t xml:space="preserve">kJ/kg·K</t>
  </si>
  <si>
    <t xml:space="preserve">Estimated</t>
  </si>
  <si>
    <t xml:space="preserve">Zeolite 13X — dynamic CO₂ loading</t>
  </si>
  <si>
    <r>
      <rPr>
        <i val="true"/>
        <sz val="9"/>
        <color rgb="FF606060"/>
        <rFont val="Arial"/>
        <family val="0"/>
        <charset val="1"/>
      </rPr>
      <t xml:space="preserve">3 wt% (</t>
    </r>
    <r>
      <rPr>
        <i val="true"/>
        <sz val="9"/>
        <color rgb="FF606060"/>
        <rFont val="Noto Sans CJK SC"/>
        <family val="2"/>
      </rPr>
      <t xml:space="preserve">보수</t>
    </r>
    <r>
      <rPr>
        <i val="true"/>
        <sz val="9"/>
        <color rgb="FF606060"/>
        <rFont val="Arial"/>
        <family val="0"/>
        <charset val="1"/>
      </rPr>
      <t xml:space="preserve">, </t>
    </r>
    <r>
      <rPr>
        <i val="true"/>
        <sz val="9"/>
        <color rgb="FF606060"/>
        <rFont val="Noto Sans CJK SC"/>
        <family val="2"/>
      </rPr>
      <t xml:space="preserve">일반 </t>
    </r>
    <r>
      <rPr>
        <i val="true"/>
        <sz val="9"/>
        <color rgb="FF606060"/>
        <rFont val="Arial"/>
        <family val="0"/>
        <charset val="1"/>
      </rPr>
      <t xml:space="preserve">4–5% → </t>
    </r>
    <r>
      <rPr>
        <i val="true"/>
        <sz val="9"/>
        <color rgb="FF606060"/>
        <rFont val="Noto Sans CJK SC"/>
        <family val="2"/>
      </rPr>
      <t xml:space="preserve">안전쪽</t>
    </r>
    <r>
      <rPr>
        <i val="true"/>
        <sz val="9"/>
        <color rgb="FF606060"/>
        <rFont val="Arial"/>
        <family val="0"/>
        <charset val="1"/>
      </rPr>
      <t xml:space="preserve">)</t>
    </r>
  </si>
  <si>
    <t xml:space="preserve">Zeolite 13X — bulk density</t>
  </si>
  <si>
    <t xml:space="preserve">Typical 13X beads/pellets</t>
  </si>
  <si>
    <t xml:space="preserve">Zeolite 13X — heat capacity</t>
  </si>
  <si>
    <t xml:space="preserve">Bed void fraction</t>
  </si>
  <si>
    <t xml:space="preserve">Typical packed bed (ε)</t>
  </si>
  <si>
    <t xml:space="preserve">Heat of adsorption — H₂O</t>
  </si>
  <si>
    <t xml:space="preserve">kJ/kg</t>
  </si>
  <si>
    <t xml:space="preserve">Approximate ΔH_ads</t>
  </si>
  <si>
    <t xml:space="preserve">Heat of adsorption — CO₂</t>
  </si>
  <si>
    <t xml:space="preserve">Approximate ΔH_ads on 13X</t>
  </si>
  <si>
    <t xml:space="preserve">Particle diameter (Alumina)</t>
  </si>
  <si>
    <t xml:space="preserve">m</t>
  </si>
  <si>
    <t xml:space="preserve">Beads ~3 mm</t>
  </si>
  <si>
    <t xml:space="preserve">Particle diameter (13X)</t>
  </si>
  <si>
    <t xml:space="preserve">Beads ~1.6 mm</t>
  </si>
  <si>
    <t xml:space="preserve">C. Gas Properties (Air @ operating conditions)</t>
  </si>
  <si>
    <t xml:space="preserve">Molar volume at STP</t>
  </si>
  <si>
    <t xml:space="preserve">Nm³/kmol</t>
  </si>
  <si>
    <t xml:space="preserve">Ideal gas at 0°C, 1 atm</t>
  </si>
  <si>
    <t xml:space="preserve">Molecular weight — Air</t>
  </si>
  <si>
    <t xml:space="preserve">kg/kmol</t>
  </si>
  <si>
    <t xml:space="preserve">Dry air</t>
  </si>
  <si>
    <t xml:space="preserve">Molecular weight — H₂O</t>
  </si>
  <si>
    <t xml:space="preserve">Molecular weight — CO₂</t>
  </si>
  <si>
    <t xml:space="preserve">Cp — Air at avg condition</t>
  </si>
  <si>
    <t xml:space="preserve">Constant pressure</t>
  </si>
  <si>
    <t xml:space="preserve">Cp — Air volumetric</t>
  </si>
  <si>
    <t xml:space="preserve">kJ/Nm³·K</t>
  </si>
  <si>
    <t xml:space="preserve">For regen heat duty</t>
  </si>
  <si>
    <t xml:space="preserve">Air viscosity @ 15°C</t>
  </si>
  <si>
    <t xml:space="preserve">Pa·s</t>
  </si>
  <si>
    <t xml:space="preserve">For Ergun ΔP</t>
  </si>
  <si>
    <t xml:space="preserve">Specific heat ratio γ (Air)</t>
  </si>
  <si>
    <t xml:space="preserve">For isentropic compressor</t>
  </si>
  <si>
    <t xml:space="preserve">Steel column wall — Cp</t>
  </si>
  <si>
    <t xml:space="preserve">STS304 approx</t>
  </si>
  <si>
    <t xml:space="preserve">Antoine A (water, °C)</t>
  </si>
  <si>
    <t xml:space="preserve">log10(P_mmHg) = A − B/(C+T)</t>
  </si>
  <si>
    <t xml:space="preserve">Antoine B (water, °C)</t>
  </si>
  <si>
    <t xml:space="preserve">Antoine C (water, °C)</t>
  </si>
  <si>
    <t xml:space="preserve">Valid 1–100 °C</t>
  </si>
  <si>
    <t xml:space="preserve">D. Engineering Safety Factors</t>
  </si>
  <si>
    <t xml:space="preserve">Note</t>
  </si>
  <si>
    <t xml:space="preserve">Adsorbent over-design factor</t>
  </si>
  <si>
    <t xml:space="preserve">동적용량 위에 추가 안전마진</t>
  </si>
  <si>
    <t xml:space="preserve">Compressor motor margin</t>
  </si>
  <si>
    <t xml:space="preserve">전기 모터 사이즈 마진</t>
  </si>
  <si>
    <t xml:space="preserve">Heater capacity margin</t>
  </si>
  <si>
    <t xml:space="preserve">히터 정격 마진</t>
  </si>
  <si>
    <t xml:space="preserve">Column free space (top+bottom)</t>
  </si>
  <si>
    <r>
      <rPr>
        <i val="true"/>
        <sz val="9"/>
        <color rgb="FF606060"/>
        <rFont val="Noto Sans CJK SC"/>
        <family val="2"/>
      </rPr>
      <t xml:space="preserve">디스트리뷰터</t>
    </r>
    <r>
      <rPr>
        <i val="true"/>
        <sz val="9"/>
        <color rgb="FF606060"/>
        <rFont val="Arial"/>
        <family val="0"/>
        <charset val="1"/>
      </rPr>
      <t xml:space="preserve">/</t>
    </r>
    <r>
      <rPr>
        <i val="true"/>
        <sz val="9"/>
        <color rgb="FF606060"/>
        <rFont val="Noto Sans CJK SC"/>
        <family val="2"/>
      </rPr>
      <t xml:space="preserve">배출구 공간</t>
    </r>
  </si>
  <si>
    <t xml:space="preserve">Design pressure factor</t>
  </si>
  <si>
    <r>
      <rPr>
        <i val="true"/>
        <sz val="9"/>
        <color rgb="FF606060"/>
        <rFont val="Noto Sans CJK SC"/>
        <family val="2"/>
      </rPr>
      <t xml:space="preserve">운전압 </t>
    </r>
    <r>
      <rPr>
        <i val="true"/>
        <sz val="9"/>
        <color rgb="FF606060"/>
        <rFont val="Arial"/>
        <family val="0"/>
        <charset val="1"/>
      </rPr>
      <t xml:space="preserve">× 1.5 = </t>
    </r>
    <r>
      <rPr>
        <i val="true"/>
        <sz val="9"/>
        <color rgb="FF606060"/>
        <rFont val="Noto Sans CJK SC"/>
        <family val="2"/>
      </rPr>
      <t xml:space="preserve">설계압</t>
    </r>
  </si>
  <si>
    <t xml:space="preserve">Compressor isentropic efficiency</t>
  </si>
  <si>
    <r>
      <rPr>
        <i val="true"/>
        <sz val="9"/>
        <color rgb="FF606060"/>
        <rFont val="Arial"/>
        <family val="0"/>
        <charset val="1"/>
      </rPr>
      <t xml:space="preserve">Oil-free screw </t>
    </r>
    <r>
      <rPr>
        <i val="true"/>
        <sz val="9"/>
        <color rgb="FF606060"/>
        <rFont val="Noto Sans CJK SC"/>
        <family val="2"/>
      </rPr>
      <t xml:space="preserve">평균</t>
    </r>
  </si>
  <si>
    <t xml:space="preserve">Heat loss factor</t>
  </si>
  <si>
    <t xml:space="preserve">재생 열량 손실 보정</t>
  </si>
  <si>
    <t xml:space="preserve">Step 2 — Unit Conversions &amp; Adsorption Load Calculation</t>
  </si>
  <si>
    <t xml:space="preserve">A. Pressure &amp; Temperature Conversion</t>
  </si>
  <si>
    <t xml:space="preserve">Formula / Note</t>
  </si>
  <si>
    <t xml:space="preserve">Operating absolute pressure</t>
  </si>
  <si>
    <t xml:space="preserve">→ P_gauge + P_atm</t>
  </si>
  <si>
    <t xml:space="preserve">kPa</t>
  </si>
  <si>
    <t xml:space="preserve">→ bar(a) × 100</t>
  </si>
  <si>
    <t xml:space="preserve">Operating temperature (absolute)</t>
  </si>
  <si>
    <t xml:space="preserve">K</t>
  </si>
  <si>
    <t xml:space="preserve">→ T_in + 273.15</t>
  </si>
  <si>
    <t xml:space="preserve">Standard temperature (absolute)</t>
  </si>
  <si>
    <t xml:space="preserve">→ 273.15 K</t>
  </si>
  <si>
    <t xml:space="preserve">Actual volumetric flow @ operating</t>
  </si>
  <si>
    <t xml:space="preserve">m³/h</t>
  </si>
  <si>
    <t xml:space="preserve">V_act = V_N × (T/T_std) × (P_std/P)</t>
  </si>
  <si>
    <t xml:space="preserve">Mass flow of dry air</t>
  </si>
  <si>
    <t xml:space="preserve">kg/h</t>
  </si>
  <si>
    <t xml:space="preserve">→ V_N × MW_air / V_m,std</t>
  </si>
  <si>
    <t xml:space="preserve">B. Inlet H₂O — Saturation @ Operating P, T (Antoine)</t>
  </si>
  <si>
    <t xml:space="preserve">Antoine: log10(P_sat,mmHg)</t>
  </si>
  <si>
    <t xml:space="preserve">A − B/(C + T)</t>
  </si>
  <si>
    <t xml:space="preserve">P_sat at T_in</t>
  </si>
  <si>
    <t xml:space="preserve">mmHg</t>
  </si>
  <si>
    <t xml:space="preserve">→ 10^(log10(P))</t>
  </si>
  <si>
    <t xml:space="preserve">1 mmHg = 0.133322 kPa</t>
  </si>
  <si>
    <t xml:space="preserve">Partial pressure of H₂O (RH applied)</t>
  </si>
  <si>
    <t xml:space="preserve">→ P_sat × RH</t>
  </si>
  <si>
    <t xml:space="preserve">H₂O mole fraction (= ppm in vol)</t>
  </si>
  <si>
    <t xml:space="preserve">→ P_H2O / P_total × 10⁶</t>
  </si>
  <si>
    <t xml:space="preserve">C. Adsorption Load — H₂O &amp; CO₂</t>
  </si>
  <si>
    <t xml:space="preserve">H₂O mass flow rate</t>
  </si>
  <si>
    <t xml:space="preserve">→ V_N × y × MW/22.414</t>
  </si>
  <si>
    <t xml:space="preserve">H₂O total per cycle</t>
  </si>
  <si>
    <t xml:space="preserve">kg/cycle</t>
  </si>
  <si>
    <t xml:space="preserve">→ mdot × t_ads</t>
  </si>
  <si>
    <t xml:space="preserve">CO₂ mass flow rate</t>
  </si>
  <si>
    <t xml:space="preserve">CO₂ total per cycle</t>
  </si>
  <si>
    <t xml:space="preserve">Step 3 — Adsorbent Mass &amp; Column Sizing</t>
  </si>
  <si>
    <t xml:space="preserve">A. Adsorbent Mass (with safety factor)</t>
  </si>
  <si>
    <t xml:space="preserve">Activated Alumina — required mass</t>
  </si>
  <si>
    <t xml:space="preserve">kg</t>
  </si>
  <si>
    <t xml:space="preserve">→ H₂O_load / x_dyn × SF</t>
  </si>
  <si>
    <t xml:space="preserve">Zeolite 13X — required mass</t>
  </si>
  <si>
    <t xml:space="preserve">→ CO₂_load / x_dyn × SF</t>
  </si>
  <si>
    <t xml:space="preserve">Total adsorbent (single column)</t>
  </si>
  <si>
    <t xml:space="preserve">Per column</t>
  </si>
  <si>
    <t xml:space="preserve">Total adsorbent (twin-bed system)</t>
  </si>
  <si>
    <t xml:space="preserve">× 2 columns</t>
  </si>
  <si>
    <t xml:space="preserve">B. Column Diameter (target superficial velocity)</t>
  </si>
  <si>
    <t xml:space="preserve">Target superficial velocity (design)</t>
  </si>
  <si>
    <t xml:space="preserve">m/s</t>
  </si>
  <si>
    <t xml:space="preserve">Typical AA/13X: 0.15–0.25 m/s</t>
  </si>
  <si>
    <t xml:space="preserve">Required cross-section area</t>
  </si>
  <si>
    <t xml:space="preserve">m²</t>
  </si>
  <si>
    <t xml:space="preserve">→ Q_act / u_s</t>
  </si>
  <si>
    <t xml:space="preserve">Calculated diameter</t>
  </si>
  <si>
    <t xml:space="preserve">→ √(4A/π)</t>
  </si>
  <si>
    <t xml:space="preserve">Selected diameter (rounded standard)</t>
  </si>
  <si>
    <t xml:space="preserve">Round to 250 mm (DN250)</t>
  </si>
  <si>
    <t xml:space="preserve">Actual cross-section area</t>
  </si>
  <si>
    <t xml:space="preserve">→ π/4 × D²</t>
  </si>
  <si>
    <t xml:space="preserve">Actual superficial velocity</t>
  </si>
  <si>
    <t xml:space="preserve">Check vs design 0.15–0.25</t>
  </si>
  <si>
    <t xml:space="preserve">C. Column Length (bed height)</t>
  </si>
  <si>
    <t xml:space="preserve">Activated Alumina layer volume</t>
  </si>
  <si>
    <t xml:space="preserve">m³</t>
  </si>
  <si>
    <t xml:space="preserve">→ m / ρ_bulk</t>
  </si>
  <si>
    <t xml:space="preserve">Activated Alumina layer height</t>
  </si>
  <si>
    <t xml:space="preserve">→ V / A</t>
  </si>
  <si>
    <t xml:space="preserve">Zeolite 13X layer volume</t>
  </si>
  <si>
    <t xml:space="preserve">Zeolite 13X layer height</t>
  </si>
  <si>
    <t xml:space="preserve">Bed height (Alumina + 13X)</t>
  </si>
  <si>
    <t xml:space="preserve">→ h_AA + h_13X</t>
  </si>
  <si>
    <t xml:space="preserve">Total column length (bed + free space)</t>
  </si>
  <si>
    <t xml:space="preserve">+ inlet/outlet distributor</t>
  </si>
  <si>
    <t xml:space="preserve">Aspect ratio L/D</t>
  </si>
  <si>
    <t xml:space="preserve">Target 3–10 for good distribution</t>
  </si>
  <si>
    <t xml:space="preserve">D. Pressure Drop (Ergun Equation)</t>
  </si>
  <si>
    <t xml:space="preserve">Gas density @ operating</t>
  </si>
  <si>
    <t xml:space="preserve">ρ = PM/(RT), R=8314 J/kmol·K</t>
  </si>
  <si>
    <t xml:space="preserve">ΔP — Alumina layer (Ergun)</t>
  </si>
  <si>
    <t xml:space="preserve">Ergun: 150μu(1-ε)²/(ε³d²) + 1.75ρu²(1-ε)/(ε³d), × L</t>
  </si>
  <si>
    <t xml:space="preserve">ΔP — 13X layer (Ergun)</t>
  </si>
  <si>
    <t xml:space="preserve">Same form, dp=1.6 mm</t>
  </si>
  <si>
    <t xml:space="preserve">Total bed ΔP</t>
  </si>
  <si>
    <t xml:space="preserve">Should be &lt; 50 kPa for stable operation</t>
  </si>
  <si>
    <t xml:space="preserve">bar</t>
  </si>
  <si>
    <r>
      <rPr>
        <i val="true"/>
        <sz val="9"/>
        <color rgb="FF606060"/>
        <rFont val="Arial"/>
        <family val="0"/>
        <charset val="1"/>
      </rPr>
      <t xml:space="preserve">&lt; 0.5 bar </t>
    </r>
    <r>
      <rPr>
        <i val="true"/>
        <sz val="9"/>
        <color rgb="FF606060"/>
        <rFont val="Noto Sans CJK SC"/>
        <family val="2"/>
      </rPr>
      <t xml:space="preserve">권장</t>
    </r>
  </si>
  <si>
    <t xml:space="preserve">E. Design Pressure</t>
  </si>
  <si>
    <t xml:space="preserve">Operating pressure (gauge)</t>
  </si>
  <si>
    <t xml:space="preserve">From Inputs</t>
  </si>
  <si>
    <t xml:space="preserve">Design pressure</t>
  </si>
  <si>
    <t xml:space="preserve">→ 1.5 × P_op (KGS AC111)</t>
  </si>
  <si>
    <t xml:space="preserve">Step 4 — Regeneration Heat Duty &amp; Heater Sizing</t>
  </si>
  <si>
    <t xml:space="preserve">A. Sensible Heat (Adsorbent + Column Wall)</t>
  </si>
  <si>
    <t xml:space="preserve">Temperature rise (T_regen − T_in)</t>
  </si>
  <si>
    <t xml:space="preserve">ΔT for heating</t>
  </si>
  <si>
    <t xml:space="preserve">Q — Alumina sensible</t>
  </si>
  <si>
    <t xml:space="preserve">kJ</t>
  </si>
  <si>
    <t xml:space="preserve">→ m × Cp × ΔT</t>
  </si>
  <si>
    <t xml:space="preserve">Q — 13X sensible</t>
  </si>
  <si>
    <t xml:space="preserve">Column wall mass (estimate)</t>
  </si>
  <si>
    <t xml:space="preserve">πDL × t × ρ_steel (t=6 mm, ρ=7900 kg/m³)</t>
  </si>
  <si>
    <t xml:space="preserve">Q — Column wall sensible</t>
  </si>
  <si>
    <t xml:space="preserve">→ m_wall × Cp × ΔT</t>
  </si>
  <si>
    <t xml:space="preserve">Total sensible heat</t>
  </si>
  <si>
    <t xml:space="preserve">Sum</t>
  </si>
  <si>
    <t xml:space="preserve">B. Desorption Heat</t>
  </si>
  <si>
    <t xml:space="preserve">Q — H₂O desorption</t>
  </si>
  <si>
    <t xml:space="preserve">→ m_H2O × ΔH_ads</t>
  </si>
  <si>
    <t xml:space="preserve">Q — CO₂ desorption</t>
  </si>
  <si>
    <t xml:space="preserve">→ m_CO2 × ΔH_ads</t>
  </si>
  <si>
    <t xml:space="preserve">Total desorption heat</t>
  </si>
  <si>
    <t xml:space="preserve">C. Total Heat &amp; Heater Power</t>
  </si>
  <si>
    <t xml:space="preserve">Total heat per regen (incl. losses)</t>
  </si>
  <si>
    <t xml:space="preserve">× SF_loss</t>
  </si>
  <si>
    <t xml:space="preserve">Total heat per regen</t>
  </si>
  <si>
    <t xml:space="preserve">kWh</t>
  </si>
  <si>
    <t xml:space="preserve">÷ 3600 to convert</t>
  </si>
  <si>
    <t xml:space="preserve">Average heater duty (over heat time)</t>
  </si>
  <si>
    <t xml:space="preserve">kW</t>
  </si>
  <si>
    <t xml:space="preserve">→ Q / t_heat</t>
  </si>
  <si>
    <t xml:space="preserve">Heater rated power (with margin)</t>
  </si>
  <si>
    <t xml:space="preserve">× SF_heater</t>
  </si>
  <si>
    <t xml:space="preserve">Heater selection (rounded standard)</t>
  </si>
  <si>
    <t xml:space="preserve">Round up to next 5 kW step</t>
  </si>
  <si>
    <t xml:space="preserve">D. Regeneration Gas Flow</t>
  </si>
  <si>
    <t xml:space="preserve">Regen gas flow rate (Nm³/h)</t>
  </si>
  <si>
    <t xml:space="preserve">→ V_feed × ratio</t>
  </si>
  <si>
    <t xml:space="preserve">Regen gas mass flow</t>
  </si>
  <si>
    <t xml:space="preserve">→ V_N × MW/22.414</t>
  </si>
  <si>
    <t xml:space="preserve">Heat carried by regen gas (sensible to 200°C)</t>
  </si>
  <si>
    <t xml:space="preserve">kJ/h</t>
  </si>
  <si>
    <t xml:space="preserve">Heat carried over heat time</t>
  </si>
  <si>
    <t xml:space="preserve">Cross-check vs heater duty</t>
  </si>
  <si>
    <t xml:space="preserve">Step 5 — Compressor Power (Isentropic + Motor)</t>
  </si>
  <si>
    <t xml:space="preserve">A. Compressor Conditions</t>
  </si>
  <si>
    <t xml:space="preserve">Suction pressure (atmospheric)</t>
  </si>
  <si>
    <t xml:space="preserve">Air intake</t>
  </si>
  <si>
    <t xml:space="preserve">Discharge pressure (with bed ΔP margin)</t>
  </si>
  <si>
    <t xml:space="preserve">→ P_op + 1 bar margin + P_atm</t>
  </si>
  <si>
    <t xml:space="preserve">Pressure ratio</t>
  </si>
  <si>
    <t xml:space="preserve">→ P_dis / P_suc</t>
  </si>
  <si>
    <t xml:space="preserve">Suction temperature</t>
  </si>
  <si>
    <t xml:space="preserve">Ambient</t>
  </si>
  <si>
    <t xml:space="preserve">Suction temperature (absolute)</t>
  </si>
  <si>
    <t xml:space="preserve">+273.15</t>
  </si>
  <si>
    <t xml:space="preserve">B. Isentropic Power</t>
  </si>
  <si>
    <t xml:space="preserve">Mass flow</t>
  </si>
  <si>
    <t xml:space="preserve">kg/s</t>
  </si>
  <si>
    <t xml:space="preserve">→ mdot/3600</t>
  </si>
  <si>
    <t xml:space="preserve">Specific gas constant R/M (Air)</t>
  </si>
  <si>
    <t xml:space="preserve">→ 8.314/MW (kJ basis)</t>
  </si>
  <si>
    <t xml:space="preserve">(γ−1)/γ</t>
  </si>
  <si>
    <t xml:space="preserve">Polytropic exponent term</t>
  </si>
  <si>
    <t xml:space="preserve">Isentropic specific work</t>
  </si>
  <si>
    <t xml:space="preserve">w_iso = (γ/(γ−1))·R·T·[(P2/P1)^((γ−1)/γ)−1]</t>
  </si>
  <si>
    <t xml:space="preserve">Isentropic shaft power</t>
  </si>
  <si>
    <t xml:space="preserve">→ mdot × w_iso</t>
  </si>
  <si>
    <t xml:space="preserve">Actual shaft power (efficiency-corrected)</t>
  </si>
  <si>
    <t xml:space="preserve">→ P_iso / η_iso</t>
  </si>
  <si>
    <t xml:space="preserve">Motor rated power (with margin)</t>
  </si>
  <si>
    <t xml:space="preserve">× SF_motor</t>
  </si>
  <si>
    <t xml:space="preserve">Selected motor (rounded standard)</t>
  </si>
  <si>
    <t xml:space="preserve">Standard sizes: 22, 30, 37 kW</t>
  </si>
  <si>
    <t xml:space="preserve">C. Discharge Temperature (Adiabatic)</t>
  </si>
  <si>
    <t xml:space="preserve">T_discharge (isentropic)</t>
  </si>
  <si>
    <t xml:space="preserve">→ T1 × (P2/P1)^((γ−1)/γ)</t>
  </si>
  <si>
    <r>
      <rPr>
        <i val="true"/>
        <sz val="9"/>
        <color rgb="FF606060"/>
        <rFont val="Arial"/>
        <family val="0"/>
        <charset val="1"/>
      </rPr>
      <t xml:space="preserve">After-cooler </t>
    </r>
    <r>
      <rPr>
        <i val="true"/>
        <sz val="9"/>
        <color rgb="FF606060"/>
        <rFont val="Noto Sans CJK SC"/>
        <family val="2"/>
      </rPr>
      <t xml:space="preserve">필요 확인</t>
    </r>
  </si>
  <si>
    <t xml:space="preserve">Summary — Final Specifications for RFQ</t>
  </si>
  <si>
    <t xml:space="preserve">A. Process Summary</t>
  </si>
  <si>
    <t xml:space="preserve">Item</t>
  </si>
  <si>
    <t xml:space="preserve">Standard flow</t>
  </si>
  <si>
    <t xml:space="preserve">Design feed flow</t>
  </si>
  <si>
    <t xml:space="preserve">Operating pressure</t>
  </si>
  <si>
    <t xml:space="preserve">Column inlet</t>
  </si>
  <si>
    <t xml:space="preserve">Operating temperature</t>
  </si>
  <si>
    <t xml:space="preserve">Inlet H₂O concentration</t>
  </si>
  <si>
    <r>
      <rPr>
        <i val="true"/>
        <sz val="9"/>
        <color rgb="FF606060"/>
        <rFont val="Arial"/>
        <family val="0"/>
        <charset val="1"/>
      </rPr>
      <t xml:space="preserve">5 bar·15°C </t>
    </r>
    <r>
      <rPr>
        <i val="true"/>
        <sz val="9"/>
        <color rgb="FF606060"/>
        <rFont val="Noto Sans CJK SC"/>
        <family val="2"/>
      </rPr>
      <t xml:space="preserve">포화</t>
    </r>
  </si>
  <si>
    <t xml:space="preserve">Atmospheric</t>
  </si>
  <si>
    <t xml:space="preserve">ASU-grade</t>
  </si>
  <si>
    <t xml:space="preserve">Cycle time (adsorption / regeneration)</t>
  </si>
  <si>
    <t xml:space="preserve">h / h</t>
  </si>
  <si>
    <t xml:space="preserve">Twin-bed alternating</t>
  </si>
  <si>
    <t xml:space="preserve">B. Adsorption Load</t>
  </si>
  <si>
    <t xml:space="preserve">H₂O mass flow</t>
  </si>
  <si>
    <t xml:space="preserve">H₂O per cycle</t>
  </si>
  <si>
    <t xml:space="preserve">CO₂ mass flow</t>
  </si>
  <si>
    <t xml:space="preserve">CO₂ per cycle</t>
  </si>
  <si>
    <t xml:space="preserve">C. Adsorbent &amp; Column (per column, twin-bed = ×2)</t>
  </si>
  <si>
    <t xml:space="preserve">Activated Alumina mass</t>
  </si>
  <si>
    <t xml:space="preserve">Zeolite 13X mass</t>
  </si>
  <si>
    <t xml:space="preserve">Total adsorbent (per column)</t>
  </si>
  <si>
    <t xml:space="preserve">Column inner diameter</t>
  </si>
  <si>
    <t xml:space="preserve">mm</t>
  </si>
  <si>
    <t xml:space="preserve">Selected DN</t>
  </si>
  <si>
    <t xml:space="preserve">Total column length</t>
  </si>
  <si>
    <t xml:space="preserve">+ free space</t>
  </si>
  <si>
    <t xml:space="preserve">Superficial velocity</t>
  </si>
  <si>
    <r>
      <rPr>
        <i val="true"/>
        <sz val="9"/>
        <color rgb="FF606060"/>
        <rFont val="Arial"/>
        <family val="0"/>
        <charset val="1"/>
      </rPr>
      <t xml:space="preserve">0.15–0.25 </t>
    </r>
    <r>
      <rPr>
        <i val="true"/>
        <sz val="9"/>
        <color rgb="FF606060"/>
        <rFont val="Noto Sans CJK SC"/>
        <family val="2"/>
      </rPr>
      <t xml:space="preserve">권장</t>
    </r>
  </si>
  <si>
    <t xml:space="preserve">Total bed pressure drop</t>
  </si>
  <si>
    <r>
      <rPr>
        <i val="true"/>
        <sz val="9"/>
        <color rgb="FF606060"/>
        <rFont val="Arial"/>
        <family val="0"/>
        <charset val="1"/>
      </rPr>
      <t xml:space="preserve">&lt; 0.5 </t>
    </r>
    <r>
      <rPr>
        <i val="true"/>
        <sz val="9"/>
        <color rgb="FF606060"/>
        <rFont val="Noto Sans CJK SC"/>
        <family val="2"/>
      </rPr>
      <t xml:space="preserve">권장</t>
    </r>
  </si>
  <si>
    <t xml:space="preserve">KGS AC111</t>
  </si>
  <si>
    <t xml:space="preserve">Material of construction</t>
  </si>
  <si>
    <t xml:space="preserve">STS304</t>
  </si>
  <si>
    <r>
      <rPr>
        <i val="true"/>
        <sz val="9"/>
        <color rgb="FF606060"/>
        <rFont val="Arial"/>
        <family val="0"/>
        <charset val="1"/>
      </rPr>
      <t xml:space="preserve">200°C </t>
    </r>
    <r>
      <rPr>
        <i val="true"/>
        <sz val="9"/>
        <color rgb="FF606060"/>
        <rFont val="Noto Sans CJK SC"/>
        <family val="2"/>
      </rPr>
      <t xml:space="preserve">견딤</t>
    </r>
  </si>
  <si>
    <t xml:space="preserve">D. Major Equipment Specifications</t>
  </si>
  <si>
    <t xml:space="preserve">Equipment</t>
  </si>
  <si>
    <t xml:space="preserve">Compressor — motor power</t>
  </si>
  <si>
    <t xml:space="preserve">Oil-free screw</t>
  </si>
  <si>
    <t xml:space="preserve">Compressor — pressure ratio</t>
  </si>
  <si>
    <t xml:space="preserve">Compressor — discharge temp (isentropic)</t>
  </si>
  <si>
    <r>
      <rPr>
        <i val="true"/>
        <sz val="9"/>
        <color rgb="FF606060"/>
        <rFont val="Arial"/>
        <family val="0"/>
        <charset val="1"/>
      </rPr>
      <t xml:space="preserve">After-cooler </t>
    </r>
    <r>
      <rPr>
        <i val="true"/>
        <sz val="9"/>
        <color rgb="FF606060"/>
        <rFont val="Noto Sans CJK SC"/>
        <family val="2"/>
      </rPr>
      <t xml:space="preserve">필요</t>
    </r>
  </si>
  <si>
    <t xml:space="preserve">Heater — rated power</t>
  </si>
  <si>
    <t xml:space="preserve">재생 가스 가열</t>
  </si>
  <si>
    <t xml:space="preserve">Heater duration per cycle</t>
  </si>
  <si>
    <t xml:space="preserve">Total heat per regeneration</t>
  </si>
  <si>
    <t xml:space="preserve">Number of columns</t>
  </si>
  <si>
    <t xml:space="preserve">set</t>
  </si>
  <si>
    <t xml:space="preserve">Twin-bed</t>
  </si>
  <si>
    <t xml:space="preserve">Number of switching valves</t>
  </si>
  <si>
    <t xml:space="preserve">8 ~ 10</t>
  </si>
  <si>
    <r>
      <rPr>
        <i val="true"/>
        <sz val="9"/>
        <color rgb="FF606060"/>
        <rFont val="Noto Sans CJK SC"/>
        <family val="2"/>
      </rPr>
      <t xml:space="preserve">공압 </t>
    </r>
    <r>
      <rPr>
        <i val="true"/>
        <sz val="9"/>
        <color rgb="FF606060"/>
        <rFont val="Arial"/>
        <family val="0"/>
        <charset val="1"/>
      </rPr>
      <t xml:space="preserve">ball valve</t>
    </r>
  </si>
  <si>
    <r>
      <rPr>
        <b val="true"/>
        <sz val="12"/>
        <color rgb="FFFFFFFF"/>
        <rFont val="Arial"/>
        <family val="0"/>
        <charset val="1"/>
      </rPr>
      <t xml:space="preserve">E. Sanity Checks (</t>
    </r>
    <r>
      <rPr>
        <b val="true"/>
        <sz val="12"/>
        <color rgb="FFFFFFFF"/>
        <rFont val="Noto Sans CJK SC"/>
        <family val="2"/>
      </rPr>
      <t xml:space="preserve">자동 검증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</si>
  <si>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Check</t>
  </si>
  <si>
    <t xml:space="preserve">Result</t>
  </si>
  <si>
    <t xml:space="preserve">Pass?</t>
  </si>
  <si>
    <t xml:space="preserve">Criterion</t>
  </si>
  <si>
    <t xml:space="preserve">Superficial velocity within 0.15–0.25 m/s</t>
  </si>
  <si>
    <t xml:space="preserve">0.15–0.25 m/s</t>
  </si>
  <si>
    <t xml:space="preserve">Aspect ratio L/D within 3–10</t>
  </si>
  <si>
    <t xml:space="preserve">3 ~ 10</t>
  </si>
  <si>
    <t xml:space="preserve">Bed ΔP &lt; 0.5 bar</t>
  </si>
  <si>
    <t xml:space="preserve">&lt; 0.5 bar</t>
  </si>
  <si>
    <t xml:space="preserve">Compressor discharge &lt; 180°C (oil-free OK)</t>
  </si>
  <si>
    <t xml:space="preserve">&lt; 180°C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</si>
</sst>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00"/>
    <numFmt numFmtId="167" formatCode="0.0000E+00"/>
    <numFmt numFmtId="168" formatCode="0.00"/>
    <numFmt numFmtId="169" formatCode="0"/>
    <numFmt numFmtId="170" formatCode="#,##0"/>
    <numFmt numFmtId="171" formatCode="0.0"/>
    <numFmt numFmtId="172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008000"/>
      <name val="Noto Sans CJK SC"/>
      <family val="2"/>
    </font>
    <font>
      <i val="true"/>
      <sz val="9"/>
      <color rgb="FF606060"/>
      <name val="Arial"/>
      <family val="0"/>
      <charset val="1"/>
    </font>
    <font>
      <i val="true"/>
      <sz val="9"/>
      <color rgb="FF60606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 t="s">
        <v>9</v>
      </c>
      <c r="C7" s="3" t="s">
        <v>10</v>
      </c>
    </row>
    <row r="8" customFormat="false" ht="23.85" hidden="false" customHeight="false" outlineLevel="0" collapsed="false">
      <c r="B8" s="2" t="s">
        <v>11</v>
      </c>
      <c r="C8" s="3" t="s">
        <v>12</v>
      </c>
    </row>
    <row r="9" customFormat="false" ht="15" hidden="false" customHeight="false" outlineLevel="0" collapsed="false">
      <c r="B9" s="2" t="s">
        <v>13</v>
      </c>
      <c r="C9" s="3" t="s">
        <v>14</v>
      </c>
    </row>
    <row r="11" customFormat="false" ht="21.75" hidden="false" customHeight="true" outlineLevel="0" collapsed="false">
      <c r="A11" s="4" t="s">
        <v>15</v>
      </c>
      <c r="B11" s="4"/>
      <c r="C11" s="4"/>
      <c r="D11" s="4"/>
      <c r="E11" s="4"/>
    </row>
    <row r="12" customFormat="false" ht="15" hidden="false" customHeight="false" outlineLevel="0" collapsed="false">
      <c r="A12" s="5"/>
      <c r="B12" s="5" t="s">
        <v>16</v>
      </c>
      <c r="C12" s="5" t="s">
        <v>17</v>
      </c>
      <c r="D12" s="5"/>
      <c r="E12" s="5"/>
    </row>
    <row r="13" customFormat="false" ht="15" hidden="false" customHeight="false" outlineLevel="0" collapsed="false">
      <c r="B13" s="6" t="s">
        <v>18</v>
      </c>
      <c r="C13" s="7" t="s">
        <v>19</v>
      </c>
    </row>
    <row r="14" customFormat="false" ht="15" hidden="false" customHeight="false" outlineLevel="0" collapsed="false">
      <c r="B14" s="6" t="s">
        <v>20</v>
      </c>
      <c r="C14" s="7" t="s">
        <v>21</v>
      </c>
    </row>
    <row r="15" customFormat="false" ht="15" hidden="false" customHeight="false" outlineLevel="0" collapsed="false">
      <c r="B15" s="6" t="s">
        <v>22</v>
      </c>
      <c r="C15" s="7" t="s">
        <v>23</v>
      </c>
    </row>
    <row r="16" customFormat="false" ht="15" hidden="false" customHeight="false" outlineLevel="0" collapsed="false">
      <c r="B16" s="6" t="s">
        <v>24</v>
      </c>
      <c r="C16" s="7" t="s">
        <v>25</v>
      </c>
    </row>
    <row r="17" customFormat="false" ht="15" hidden="false" customHeight="false" outlineLevel="0" collapsed="false">
      <c r="B17" s="6" t="s">
        <v>26</v>
      </c>
      <c r="C17" s="7" t="s">
        <v>27</v>
      </c>
    </row>
    <row r="18" customFormat="false" ht="15" hidden="false" customHeight="false" outlineLevel="0" collapsed="false">
      <c r="B18" s="6" t="s">
        <v>28</v>
      </c>
      <c r="C18" s="7" t="s">
        <v>29</v>
      </c>
    </row>
    <row r="21" customFormat="false" ht="21.75" hidden="false" customHeight="true" outlineLevel="0" collapsed="false">
      <c r="A21" s="4" t="s">
        <v>30</v>
      </c>
      <c r="B21" s="4"/>
      <c r="C21" s="4"/>
      <c r="D21" s="4"/>
      <c r="E21" s="4"/>
    </row>
    <row r="22" customFormat="false" ht="15" hidden="false" customHeight="false" outlineLevel="0" collapsed="false">
      <c r="A22" s="5"/>
      <c r="B22" s="5" t="s">
        <v>31</v>
      </c>
      <c r="C22" s="5" t="s">
        <v>32</v>
      </c>
      <c r="D22" s="5" t="s">
        <v>33</v>
      </c>
      <c r="E22" s="5"/>
    </row>
    <row r="23" customFormat="false" ht="15" hidden="false" customHeight="false" outlineLevel="0" collapsed="false">
      <c r="B23" s="8" t="s">
        <v>34</v>
      </c>
      <c r="C23" s="3" t="s">
        <v>35</v>
      </c>
      <c r="D23" s="9" t="s">
        <v>36</v>
      </c>
    </row>
    <row r="24" customFormat="false" ht="15" hidden="false" customHeight="false" outlineLevel="0" collapsed="false">
      <c r="B24" s="10" t="s">
        <v>37</v>
      </c>
      <c r="C24" s="3" t="s">
        <v>38</v>
      </c>
      <c r="D24" s="9" t="s">
        <v>39</v>
      </c>
    </row>
    <row r="25" customFormat="false" ht="15" hidden="false" customHeight="false" outlineLevel="0" collapsed="false">
      <c r="B25" s="11" t="s">
        <v>40</v>
      </c>
      <c r="C25" s="3" t="s">
        <v>41</v>
      </c>
      <c r="D25" s="9" t="s">
        <v>42</v>
      </c>
    </row>
    <row r="26" customFormat="false" ht="15" hidden="false" customHeight="false" outlineLevel="0" collapsed="false">
      <c r="B26" s="12" t="s">
        <v>43</v>
      </c>
      <c r="C26" s="3" t="s">
        <v>44</v>
      </c>
      <c r="D26" s="9" t="s">
        <v>45</v>
      </c>
    </row>
    <row r="27" customFormat="false" ht="15" hidden="false" customHeight="false" outlineLevel="0" collapsed="false">
      <c r="B27" s="13" t="s">
        <v>46</v>
      </c>
      <c r="C27" s="3" t="s">
        <v>47</v>
      </c>
      <c r="D27" s="9" t="s">
        <v>48</v>
      </c>
    </row>
    <row r="30" customFormat="false" ht="21.75" hidden="false" customHeight="true" outlineLevel="0" collapsed="false">
      <c r="A30" s="4" t="s">
        <v>49</v>
      </c>
      <c r="B30" s="4"/>
      <c r="C30" s="4"/>
      <c r="D30" s="4"/>
      <c r="E30" s="4"/>
    </row>
    <row r="31" customFormat="false" ht="15" hidden="false" customHeight="true" outlineLevel="0" collapsed="false">
      <c r="B31" s="3" t="s">
        <v>50</v>
      </c>
      <c r="C31" s="3"/>
      <c r="D31" s="3"/>
      <c r="E31" s="3"/>
    </row>
    <row r="32" customFormat="false" ht="15" hidden="false" customHeight="true" outlineLevel="0" collapsed="false">
      <c r="B32" s="3" t="s">
        <v>51</v>
      </c>
      <c r="C32" s="3"/>
      <c r="D32" s="3"/>
      <c r="E32" s="3"/>
    </row>
    <row r="33" customFormat="false" ht="15" hidden="false" customHeight="true" outlineLevel="0" collapsed="false">
      <c r="B33" s="3" t="s">
        <v>52</v>
      </c>
      <c r="C33" s="3"/>
      <c r="D33" s="3"/>
      <c r="E33" s="3"/>
    </row>
    <row r="34" customFormat="false" ht="15" hidden="false" customHeight="true" outlineLevel="0" collapsed="false">
      <c r="B34" s="3" t="s">
        <v>53</v>
      </c>
      <c r="C34" s="3"/>
      <c r="D34" s="3"/>
      <c r="E34" s="3"/>
    </row>
    <row r="35" customFormat="false" ht="15" hidden="false" customHeight="true" outlineLevel="0" collapsed="false">
      <c r="B35" s="3" t="s">
        <v>54</v>
      </c>
      <c r="C35" s="3"/>
      <c r="D35" s="3"/>
      <c r="E35" s="3"/>
    </row>
  </sheetData>
  <mergeCells count="9">
    <mergeCell ref="A1:E1"/>
    <mergeCell ref="A11:E11"/>
    <mergeCell ref="A21:E21"/>
    <mergeCell ref="A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56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57</v>
      </c>
      <c r="C4" s="5" t="s">
        <v>58</v>
      </c>
      <c r="D4" s="5" t="s">
        <v>59</v>
      </c>
      <c r="E4" s="5" t="s">
        <v>60</v>
      </c>
    </row>
    <row r="5" customFormat="false" ht="15" hidden="false" customHeight="false" outlineLevel="0" collapsed="false">
      <c r="B5" s="3" t="s">
        <v>61</v>
      </c>
      <c r="C5" s="14" t="n">
        <v>200</v>
      </c>
      <c r="D5" s="9" t="s">
        <v>62</v>
      </c>
      <c r="E5" s="15" t="s">
        <v>63</v>
      </c>
    </row>
    <row r="6" customFormat="false" ht="15" hidden="false" customHeight="false" outlineLevel="0" collapsed="false">
      <c r="B6" s="3" t="s">
        <v>64</v>
      </c>
      <c r="C6" s="16" t="n">
        <v>5</v>
      </c>
      <c r="D6" s="9" t="s">
        <v>65</v>
      </c>
      <c r="E6" s="17" t="s">
        <v>66</v>
      </c>
    </row>
    <row r="7" customFormat="false" ht="15" hidden="false" customHeight="false" outlineLevel="0" collapsed="false">
      <c r="B7" s="3" t="s">
        <v>67</v>
      </c>
      <c r="C7" s="16" t="n">
        <v>1.01325</v>
      </c>
      <c r="D7" s="9" t="s">
        <v>68</v>
      </c>
      <c r="E7" s="17" t="s">
        <v>69</v>
      </c>
    </row>
    <row r="8" customFormat="false" ht="15" hidden="false" customHeight="false" outlineLevel="0" collapsed="false">
      <c r="B8" s="3" t="s">
        <v>70</v>
      </c>
      <c r="C8" s="16" t="n">
        <v>15</v>
      </c>
      <c r="D8" s="9" t="s">
        <v>71</v>
      </c>
      <c r="E8" s="17" t="s">
        <v>72</v>
      </c>
    </row>
    <row r="9" customFormat="false" ht="15" hidden="false" customHeight="false" outlineLevel="0" collapsed="false">
      <c r="B9" s="3" t="s">
        <v>73</v>
      </c>
      <c r="C9" s="14" t="n">
        <v>0</v>
      </c>
      <c r="D9" s="9" t="s">
        <v>71</v>
      </c>
      <c r="E9" s="15" t="s">
        <v>74</v>
      </c>
    </row>
    <row r="10" customFormat="false" ht="15" hidden="false" customHeight="false" outlineLevel="0" collapsed="false">
      <c r="B10" s="3" t="s">
        <v>75</v>
      </c>
      <c r="C10" s="16" t="n">
        <v>100</v>
      </c>
      <c r="D10" s="9" t="s">
        <v>76</v>
      </c>
      <c r="E10" s="15" t="s">
        <v>77</v>
      </c>
    </row>
    <row r="11" customFormat="false" ht="15" hidden="false" customHeight="false" outlineLevel="0" collapsed="false">
      <c r="B11" s="3" t="s">
        <v>78</v>
      </c>
      <c r="C11" s="16" t="n">
        <v>400</v>
      </c>
      <c r="D11" s="9" t="s">
        <v>79</v>
      </c>
      <c r="E11" s="17" t="s">
        <v>80</v>
      </c>
    </row>
    <row r="12" customFormat="false" ht="15" hidden="false" customHeight="false" outlineLevel="0" collapsed="false">
      <c r="B12" s="3" t="s">
        <v>81</v>
      </c>
      <c r="C12" s="14" t="n">
        <v>0.1</v>
      </c>
      <c r="D12" s="9" t="s">
        <v>79</v>
      </c>
      <c r="E12" s="15" t="s">
        <v>82</v>
      </c>
    </row>
    <row r="13" customFormat="false" ht="15" hidden="false" customHeight="false" outlineLevel="0" collapsed="false">
      <c r="B13" s="3" t="s">
        <v>83</v>
      </c>
      <c r="C13" s="16" t="n">
        <v>4</v>
      </c>
      <c r="D13" s="9" t="s">
        <v>84</v>
      </c>
      <c r="E13" s="17" t="s">
        <v>85</v>
      </c>
    </row>
    <row r="14" customFormat="false" ht="15" hidden="false" customHeight="false" outlineLevel="0" collapsed="false">
      <c r="B14" s="3" t="s">
        <v>86</v>
      </c>
      <c r="C14" s="16" t="n">
        <v>2</v>
      </c>
      <c r="D14" s="9" t="s">
        <v>84</v>
      </c>
      <c r="E14" s="17" t="s">
        <v>87</v>
      </c>
    </row>
    <row r="15" customFormat="false" ht="15" hidden="false" customHeight="false" outlineLevel="0" collapsed="false">
      <c r="B15" s="3" t="s">
        <v>88</v>
      </c>
      <c r="C15" s="16" t="n">
        <v>1.5</v>
      </c>
      <c r="D15" s="9" t="s">
        <v>84</v>
      </c>
      <c r="E15" s="17" t="s">
        <v>89</v>
      </c>
    </row>
    <row r="16" customFormat="false" ht="15" hidden="false" customHeight="false" outlineLevel="0" collapsed="false">
      <c r="B16" s="3" t="s">
        <v>90</v>
      </c>
      <c r="C16" s="14" t="n">
        <v>200</v>
      </c>
      <c r="D16" s="9" t="s">
        <v>71</v>
      </c>
      <c r="E16" s="15" t="s">
        <v>91</v>
      </c>
    </row>
    <row r="17" customFormat="false" ht="15" hidden="false" customHeight="false" outlineLevel="0" collapsed="false">
      <c r="B17" s="3" t="s">
        <v>92</v>
      </c>
      <c r="C17" s="16" t="n">
        <v>0.3</v>
      </c>
      <c r="D17" s="9" t="s">
        <v>93</v>
      </c>
      <c r="E17" s="17" t="s">
        <v>94</v>
      </c>
    </row>
    <row r="19" customFormat="false" ht="21.75" hidden="false" customHeight="true" outlineLevel="0" collapsed="false">
      <c r="A19" s="4" t="s">
        <v>95</v>
      </c>
      <c r="B19" s="4"/>
      <c r="C19" s="4"/>
      <c r="D19" s="4"/>
      <c r="E19" s="4"/>
    </row>
    <row r="20" customFormat="false" ht="15" hidden="false" customHeight="false" outlineLevel="0" collapsed="false">
      <c r="A20" s="5"/>
      <c r="B20" s="5" t="s">
        <v>57</v>
      </c>
      <c r="C20" s="5" t="s">
        <v>58</v>
      </c>
      <c r="D20" s="5" t="s">
        <v>59</v>
      </c>
      <c r="E20" s="5" t="s">
        <v>60</v>
      </c>
    </row>
    <row r="21" customFormat="false" ht="15" hidden="false" customHeight="false" outlineLevel="0" collapsed="false">
      <c r="B21" s="3" t="s">
        <v>96</v>
      </c>
      <c r="C21" s="18" t="n">
        <v>0.06</v>
      </c>
      <c r="D21" s="9" t="s">
        <v>97</v>
      </c>
      <c r="E21" s="15" t="s">
        <v>98</v>
      </c>
    </row>
    <row r="22" customFormat="false" ht="15" hidden="false" customHeight="false" outlineLevel="0" collapsed="false">
      <c r="B22" s="3" t="s">
        <v>99</v>
      </c>
      <c r="C22" s="19" t="n">
        <v>800</v>
      </c>
      <c r="D22" s="9" t="s">
        <v>100</v>
      </c>
      <c r="E22" s="15" t="s">
        <v>101</v>
      </c>
    </row>
    <row r="23" customFormat="false" ht="15" hidden="false" customHeight="false" outlineLevel="0" collapsed="false">
      <c r="B23" s="3" t="s">
        <v>102</v>
      </c>
      <c r="C23" s="19" t="n">
        <v>0.92</v>
      </c>
      <c r="D23" s="9" t="s">
        <v>103</v>
      </c>
      <c r="E23" s="15" t="s">
        <v>104</v>
      </c>
    </row>
    <row r="24" customFormat="false" ht="15" hidden="false" customHeight="false" outlineLevel="0" collapsed="false">
      <c r="B24" s="3" t="s">
        <v>105</v>
      </c>
      <c r="C24" s="18" t="n">
        <v>0.03</v>
      </c>
      <c r="D24" s="9" t="s">
        <v>97</v>
      </c>
      <c r="E24" s="15" t="s">
        <v>106</v>
      </c>
    </row>
    <row r="25" customFormat="false" ht="15" hidden="false" customHeight="false" outlineLevel="0" collapsed="false">
      <c r="B25" s="3" t="s">
        <v>107</v>
      </c>
      <c r="C25" s="19" t="n">
        <v>660</v>
      </c>
      <c r="D25" s="9" t="s">
        <v>100</v>
      </c>
      <c r="E25" s="15" t="s">
        <v>108</v>
      </c>
    </row>
    <row r="26" customFormat="false" ht="15" hidden="false" customHeight="false" outlineLevel="0" collapsed="false">
      <c r="B26" s="3" t="s">
        <v>109</v>
      </c>
      <c r="C26" s="19" t="n">
        <v>0.96</v>
      </c>
      <c r="D26" s="9" t="s">
        <v>103</v>
      </c>
      <c r="E26" s="15" t="s">
        <v>104</v>
      </c>
    </row>
    <row r="27" customFormat="false" ht="15" hidden="false" customHeight="false" outlineLevel="0" collapsed="false">
      <c r="B27" s="3" t="s">
        <v>110</v>
      </c>
      <c r="C27" s="19" t="n">
        <v>0.38</v>
      </c>
      <c r="D27" s="9" t="s">
        <v>93</v>
      </c>
      <c r="E27" s="15" t="s">
        <v>111</v>
      </c>
    </row>
    <row r="28" customFormat="false" ht="15" hidden="false" customHeight="false" outlineLevel="0" collapsed="false">
      <c r="B28" s="3" t="s">
        <v>112</v>
      </c>
      <c r="C28" s="19" t="n">
        <v>3000</v>
      </c>
      <c r="D28" s="9" t="s">
        <v>113</v>
      </c>
      <c r="E28" s="15" t="s">
        <v>114</v>
      </c>
    </row>
    <row r="29" customFormat="false" ht="15" hidden="false" customHeight="false" outlineLevel="0" collapsed="false">
      <c r="B29" s="3" t="s">
        <v>115</v>
      </c>
      <c r="C29" s="19" t="n">
        <v>700</v>
      </c>
      <c r="D29" s="9" t="s">
        <v>113</v>
      </c>
      <c r="E29" s="15" t="s">
        <v>116</v>
      </c>
    </row>
    <row r="30" customFormat="false" ht="15" hidden="false" customHeight="false" outlineLevel="0" collapsed="false">
      <c r="B30" s="3" t="s">
        <v>117</v>
      </c>
      <c r="C30" s="19" t="n">
        <v>0.003</v>
      </c>
      <c r="D30" s="9" t="s">
        <v>118</v>
      </c>
      <c r="E30" s="15" t="s">
        <v>119</v>
      </c>
    </row>
    <row r="31" customFormat="false" ht="15" hidden="false" customHeight="false" outlineLevel="0" collapsed="false">
      <c r="B31" s="3" t="s">
        <v>120</v>
      </c>
      <c r="C31" s="19" t="n">
        <v>0.0016</v>
      </c>
      <c r="D31" s="9" t="s">
        <v>118</v>
      </c>
      <c r="E31" s="15" t="s">
        <v>121</v>
      </c>
    </row>
    <row r="33" customFormat="false" ht="21.75" hidden="false" customHeight="true" outlineLevel="0" collapsed="false">
      <c r="A33" s="4" t="s">
        <v>122</v>
      </c>
      <c r="B33" s="4"/>
      <c r="C33" s="4"/>
      <c r="D33" s="4"/>
      <c r="E33" s="4"/>
    </row>
    <row r="34" customFormat="false" ht="15" hidden="false" customHeight="false" outlineLevel="0" collapsed="false">
      <c r="A34" s="5"/>
      <c r="B34" s="5" t="s">
        <v>57</v>
      </c>
      <c r="C34" s="5" t="s">
        <v>58</v>
      </c>
      <c r="D34" s="5" t="s">
        <v>59</v>
      </c>
      <c r="E34" s="5" t="s">
        <v>60</v>
      </c>
    </row>
    <row r="35" customFormat="false" ht="15" hidden="false" customHeight="false" outlineLevel="0" collapsed="false">
      <c r="B35" s="3" t="s">
        <v>123</v>
      </c>
      <c r="C35" s="19" t="n">
        <v>22.414</v>
      </c>
      <c r="D35" s="9" t="s">
        <v>124</v>
      </c>
      <c r="E35" s="15" t="s">
        <v>125</v>
      </c>
    </row>
    <row r="36" customFormat="false" ht="15" hidden="false" customHeight="false" outlineLevel="0" collapsed="false">
      <c r="B36" s="3" t="s">
        <v>126</v>
      </c>
      <c r="C36" s="19" t="n">
        <v>28.96</v>
      </c>
      <c r="D36" s="9" t="s">
        <v>127</v>
      </c>
      <c r="E36" s="15" t="s">
        <v>128</v>
      </c>
    </row>
    <row r="37" customFormat="false" ht="15" hidden="false" customHeight="false" outlineLevel="0" collapsed="false">
      <c r="B37" s="3" t="s">
        <v>129</v>
      </c>
      <c r="C37" s="19" t="n">
        <v>18.015</v>
      </c>
      <c r="D37" s="9" t="s">
        <v>127</v>
      </c>
      <c r="E37" s="15"/>
    </row>
    <row r="38" customFormat="false" ht="15" hidden="false" customHeight="false" outlineLevel="0" collapsed="false">
      <c r="B38" s="3" t="s">
        <v>130</v>
      </c>
      <c r="C38" s="19" t="n">
        <v>44.01</v>
      </c>
      <c r="D38" s="9" t="s">
        <v>127</v>
      </c>
      <c r="E38" s="15"/>
    </row>
    <row r="39" customFormat="false" ht="15" hidden="false" customHeight="false" outlineLevel="0" collapsed="false">
      <c r="B39" s="3" t="s">
        <v>131</v>
      </c>
      <c r="C39" s="19" t="n">
        <v>1.005</v>
      </c>
      <c r="D39" s="9" t="s">
        <v>103</v>
      </c>
      <c r="E39" s="15" t="s">
        <v>132</v>
      </c>
    </row>
    <row r="40" customFormat="false" ht="15" hidden="false" customHeight="false" outlineLevel="0" collapsed="false">
      <c r="B40" s="3" t="s">
        <v>133</v>
      </c>
      <c r="C40" s="19" t="n">
        <v>1.297</v>
      </c>
      <c r="D40" s="9" t="s">
        <v>134</v>
      </c>
      <c r="E40" s="15" t="s">
        <v>135</v>
      </c>
    </row>
    <row r="41" customFormat="false" ht="15" hidden="false" customHeight="false" outlineLevel="0" collapsed="false">
      <c r="B41" s="3" t="s">
        <v>136</v>
      </c>
      <c r="C41" s="20" t="n">
        <v>1.81E-005</v>
      </c>
      <c r="D41" s="9" t="s">
        <v>137</v>
      </c>
      <c r="E41" s="15" t="s">
        <v>138</v>
      </c>
    </row>
    <row r="42" customFormat="false" ht="15" hidden="false" customHeight="false" outlineLevel="0" collapsed="false">
      <c r="B42" s="3" t="s">
        <v>139</v>
      </c>
      <c r="C42" s="19" t="n">
        <v>1.4</v>
      </c>
      <c r="D42" s="9" t="s">
        <v>93</v>
      </c>
      <c r="E42" s="15" t="s">
        <v>140</v>
      </c>
    </row>
    <row r="43" customFormat="false" ht="15" hidden="false" customHeight="false" outlineLevel="0" collapsed="false">
      <c r="B43" s="3" t="s">
        <v>141</v>
      </c>
      <c r="C43" s="19" t="n">
        <v>0.5</v>
      </c>
      <c r="D43" s="9" t="s">
        <v>103</v>
      </c>
      <c r="E43" s="15" t="s">
        <v>142</v>
      </c>
    </row>
    <row r="44" customFormat="false" ht="15" hidden="false" customHeight="false" outlineLevel="0" collapsed="false">
      <c r="B44" s="3" t="s">
        <v>143</v>
      </c>
      <c r="C44" s="19" t="n">
        <v>8.07131</v>
      </c>
      <c r="D44" s="9" t="s">
        <v>93</v>
      </c>
      <c r="E44" s="15" t="s">
        <v>144</v>
      </c>
    </row>
    <row r="45" customFormat="false" ht="15" hidden="false" customHeight="false" outlineLevel="0" collapsed="false">
      <c r="B45" s="3" t="s">
        <v>145</v>
      </c>
      <c r="C45" s="19" t="n">
        <v>1730.63</v>
      </c>
      <c r="D45" s="9" t="s">
        <v>93</v>
      </c>
      <c r="E45" s="15"/>
    </row>
    <row r="46" customFormat="false" ht="15" hidden="false" customHeight="false" outlineLevel="0" collapsed="false">
      <c r="B46" s="3" t="s">
        <v>146</v>
      </c>
      <c r="C46" s="19" t="n">
        <v>233.426</v>
      </c>
      <c r="D46" s="9" t="s">
        <v>93</v>
      </c>
      <c r="E46" s="15" t="s">
        <v>147</v>
      </c>
    </row>
    <row r="48" customFormat="false" ht="21.75" hidden="false" customHeight="true" outlineLevel="0" collapsed="false">
      <c r="A48" s="4" t="s">
        <v>148</v>
      </c>
      <c r="B48" s="4"/>
      <c r="C48" s="4"/>
      <c r="D48" s="4"/>
      <c r="E48" s="4"/>
    </row>
    <row r="49" customFormat="false" ht="15" hidden="false" customHeight="false" outlineLevel="0" collapsed="false">
      <c r="A49" s="5"/>
      <c r="B49" s="5" t="s">
        <v>57</v>
      </c>
      <c r="C49" s="5" t="s">
        <v>58</v>
      </c>
      <c r="D49" s="5" t="s">
        <v>59</v>
      </c>
      <c r="E49" s="5" t="s">
        <v>149</v>
      </c>
    </row>
    <row r="50" customFormat="false" ht="15" hidden="false" customHeight="false" outlineLevel="0" collapsed="false">
      <c r="B50" s="3" t="s">
        <v>150</v>
      </c>
      <c r="C50" s="21" t="n">
        <v>1.2</v>
      </c>
      <c r="D50" s="9" t="s">
        <v>93</v>
      </c>
      <c r="E50" s="17" t="s">
        <v>151</v>
      </c>
    </row>
    <row r="51" customFormat="false" ht="15" hidden="false" customHeight="false" outlineLevel="0" collapsed="false">
      <c r="B51" s="3" t="s">
        <v>152</v>
      </c>
      <c r="C51" s="21" t="n">
        <v>1.15</v>
      </c>
      <c r="D51" s="9" t="s">
        <v>93</v>
      </c>
      <c r="E51" s="17" t="s">
        <v>153</v>
      </c>
    </row>
    <row r="52" customFormat="false" ht="15" hidden="false" customHeight="false" outlineLevel="0" collapsed="false">
      <c r="B52" s="3" t="s">
        <v>154</v>
      </c>
      <c r="C52" s="21" t="n">
        <v>1.2</v>
      </c>
      <c r="D52" s="9" t="s">
        <v>93</v>
      </c>
      <c r="E52" s="17" t="s">
        <v>155</v>
      </c>
    </row>
    <row r="53" customFormat="false" ht="15" hidden="false" customHeight="false" outlineLevel="0" collapsed="false">
      <c r="B53" s="3" t="s">
        <v>156</v>
      </c>
      <c r="C53" s="21" t="n">
        <v>0.4</v>
      </c>
      <c r="D53" s="9" t="s">
        <v>118</v>
      </c>
      <c r="E53" s="17" t="s">
        <v>157</v>
      </c>
    </row>
    <row r="54" customFormat="false" ht="15" hidden="false" customHeight="false" outlineLevel="0" collapsed="false">
      <c r="B54" s="3" t="s">
        <v>158</v>
      </c>
      <c r="C54" s="21" t="n">
        <v>1.5</v>
      </c>
      <c r="D54" s="9" t="s">
        <v>93</v>
      </c>
      <c r="E54" s="17" t="s">
        <v>159</v>
      </c>
    </row>
    <row r="55" customFormat="false" ht="15" hidden="false" customHeight="false" outlineLevel="0" collapsed="false">
      <c r="B55" s="3" t="s">
        <v>160</v>
      </c>
      <c r="C55" s="21" t="n">
        <v>0.7</v>
      </c>
      <c r="D55" s="9" t="s">
        <v>93</v>
      </c>
      <c r="E55" s="15" t="s">
        <v>161</v>
      </c>
    </row>
    <row r="56" customFormat="false" ht="15" hidden="false" customHeight="false" outlineLevel="0" collapsed="false">
      <c r="B56" s="3" t="s">
        <v>162</v>
      </c>
      <c r="C56" s="21" t="n">
        <v>1.15</v>
      </c>
      <c r="D56" s="9" t="s">
        <v>93</v>
      </c>
      <c r="E56" s="17" t="s">
        <v>163</v>
      </c>
    </row>
  </sheetData>
  <mergeCells count="5">
    <mergeCell ref="A1:E1"/>
    <mergeCell ref="A3:E3"/>
    <mergeCell ref="A19:E19"/>
    <mergeCell ref="A33:E33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164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165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57</v>
      </c>
      <c r="C4" s="5" t="s">
        <v>58</v>
      </c>
      <c r="D4" s="5" t="s">
        <v>59</v>
      </c>
      <c r="E4" s="5" t="s">
        <v>166</v>
      </c>
    </row>
    <row r="5" customFormat="false" ht="15" hidden="false" customHeight="false" outlineLevel="0" collapsed="false">
      <c r="B5" s="3" t="s">
        <v>167</v>
      </c>
      <c r="C5" s="22" t="n">
        <f aca="false">1_Inputs!$C$6+1_Inputs!$C$7</f>
        <v>6.01325</v>
      </c>
      <c r="D5" s="9" t="s">
        <v>68</v>
      </c>
      <c r="E5" s="15" t="s">
        <v>168</v>
      </c>
    </row>
    <row r="6" customFormat="false" ht="15" hidden="false" customHeight="false" outlineLevel="0" collapsed="false">
      <c r="B6" s="3" t="s">
        <v>167</v>
      </c>
      <c r="C6" s="23" t="n">
        <f aca="false">C5*100</f>
        <v>601.325</v>
      </c>
      <c r="D6" s="9" t="s">
        <v>169</v>
      </c>
      <c r="E6" s="15" t="s">
        <v>170</v>
      </c>
    </row>
    <row r="7" customFormat="false" ht="15" hidden="false" customHeight="false" outlineLevel="0" collapsed="false">
      <c r="B7" s="3" t="s">
        <v>171</v>
      </c>
      <c r="C7" s="24" t="n">
        <f aca="false">1_Inputs!$C$8+273.15</f>
        <v>288.15</v>
      </c>
      <c r="D7" s="9" t="s">
        <v>172</v>
      </c>
      <c r="E7" s="15" t="s">
        <v>173</v>
      </c>
    </row>
    <row r="8" customFormat="false" ht="15" hidden="false" customHeight="false" outlineLevel="0" collapsed="false">
      <c r="B8" s="3" t="s">
        <v>174</v>
      </c>
      <c r="C8" s="24" t="n">
        <f aca="false">1_Inputs!$C$9+273.15</f>
        <v>273.15</v>
      </c>
      <c r="D8" s="9" t="s">
        <v>172</v>
      </c>
      <c r="E8" s="15" t="s">
        <v>175</v>
      </c>
    </row>
    <row r="9" customFormat="false" ht="15" hidden="false" customHeight="false" outlineLevel="0" collapsed="false">
      <c r="B9" s="3" t="s">
        <v>176</v>
      </c>
      <c r="C9" s="25" t="n">
        <f aca="false">1_Inputs!$C$5*(C7/C8)*(1_Inputs!$C$7/C5)</f>
        <v>35.5512411464222</v>
      </c>
      <c r="D9" s="9" t="s">
        <v>177</v>
      </c>
      <c r="E9" s="15" t="s">
        <v>178</v>
      </c>
    </row>
    <row r="10" customFormat="false" ht="15" hidden="false" customHeight="false" outlineLevel="0" collapsed="false">
      <c r="B10" s="3" t="s">
        <v>179</v>
      </c>
      <c r="C10" s="25" t="n">
        <f aca="false">1_Inputs!$C$5*(1_Inputs!$C$36/1_Inputs!$C$35)</f>
        <v>258.409922369947</v>
      </c>
      <c r="D10" s="9" t="s">
        <v>180</v>
      </c>
      <c r="E10" s="15" t="s">
        <v>181</v>
      </c>
    </row>
    <row r="12" customFormat="false" ht="21.75" hidden="false" customHeight="true" outlineLevel="0" collapsed="false">
      <c r="A12" s="4" t="s">
        <v>182</v>
      </c>
      <c r="B12" s="4"/>
      <c r="C12" s="4"/>
      <c r="D12" s="4"/>
      <c r="E12" s="4"/>
    </row>
    <row r="13" customFormat="false" ht="15" hidden="false" customHeight="false" outlineLevel="0" collapsed="false">
      <c r="A13" s="5"/>
      <c r="B13" s="5" t="s">
        <v>57</v>
      </c>
      <c r="C13" s="5" t="s">
        <v>58</v>
      </c>
      <c r="D13" s="5" t="s">
        <v>59</v>
      </c>
      <c r="E13" s="5" t="s">
        <v>166</v>
      </c>
    </row>
    <row r="14" customFormat="false" ht="15" hidden="false" customHeight="false" outlineLevel="0" collapsed="false">
      <c r="B14" s="3" t="s">
        <v>183</v>
      </c>
      <c r="C14" s="26" t="n">
        <f aca="false">1_Inputs!$C$44-1_Inputs!$C$45/(1_Inputs!$C$46+1_Inputs!$C$8)</f>
        <v>1.10492966943879</v>
      </c>
      <c r="D14" s="9" t="s">
        <v>93</v>
      </c>
      <c r="E14" s="15" t="s">
        <v>184</v>
      </c>
    </row>
    <row r="15" customFormat="false" ht="15" hidden="false" customHeight="false" outlineLevel="0" collapsed="false">
      <c r="B15" s="3" t="s">
        <v>185</v>
      </c>
      <c r="C15" s="27" t="n">
        <f aca="false">10^C14</f>
        <v>12.732968639491</v>
      </c>
      <c r="D15" s="9" t="s">
        <v>186</v>
      </c>
      <c r="E15" s="15" t="s">
        <v>187</v>
      </c>
    </row>
    <row r="16" customFormat="false" ht="15" hidden="false" customHeight="false" outlineLevel="0" collapsed="false">
      <c r="B16" s="3" t="s">
        <v>185</v>
      </c>
      <c r="C16" s="28" t="n">
        <f aca="false">C15*0.133322</f>
        <v>1.69758484495421</v>
      </c>
      <c r="D16" s="9" t="s">
        <v>169</v>
      </c>
      <c r="E16" s="15" t="s">
        <v>188</v>
      </c>
    </row>
    <row r="17" customFormat="false" ht="15" hidden="false" customHeight="false" outlineLevel="0" collapsed="false">
      <c r="B17" s="3" t="s">
        <v>189</v>
      </c>
      <c r="C17" s="26" t="n">
        <f aca="false">C16*(1_Inputs!$C$10/100)</f>
        <v>1.69758484495421</v>
      </c>
      <c r="D17" s="9" t="s">
        <v>169</v>
      </c>
      <c r="E17" s="15" t="s">
        <v>190</v>
      </c>
    </row>
    <row r="18" customFormat="false" ht="15" hidden="false" customHeight="false" outlineLevel="0" collapsed="false">
      <c r="B18" s="3" t="s">
        <v>191</v>
      </c>
      <c r="C18" s="29" t="n">
        <f aca="false">C17/C6*1000000</f>
        <v>2823.07378697745</v>
      </c>
      <c r="D18" s="9" t="s">
        <v>79</v>
      </c>
      <c r="E18" s="15" t="s">
        <v>192</v>
      </c>
    </row>
    <row r="20" customFormat="false" ht="21.75" hidden="false" customHeight="true" outlineLevel="0" collapsed="false">
      <c r="A20" s="4" t="s">
        <v>193</v>
      </c>
      <c r="B20" s="4"/>
      <c r="C20" s="4"/>
      <c r="D20" s="4"/>
      <c r="E20" s="4"/>
    </row>
    <row r="21" customFormat="false" ht="15" hidden="false" customHeight="false" outlineLevel="0" collapsed="false">
      <c r="A21" s="5"/>
      <c r="B21" s="5" t="s">
        <v>57</v>
      </c>
      <c r="C21" s="5" t="s">
        <v>58</v>
      </c>
      <c r="D21" s="5" t="s">
        <v>59</v>
      </c>
      <c r="E21" s="5" t="s">
        <v>166</v>
      </c>
    </row>
    <row r="22" customFormat="false" ht="15" hidden="false" customHeight="false" outlineLevel="0" collapsed="false">
      <c r="B22" s="3" t="s">
        <v>194</v>
      </c>
      <c r="C22" s="30" t="n">
        <f aca="false">1_Inputs!$C$5*(C18/1000000)*(1_Inputs!$C$37/1_Inputs!$C$35)</f>
        <v>0.453802750712936</v>
      </c>
      <c r="D22" s="9" t="s">
        <v>180</v>
      </c>
      <c r="E22" s="15" t="s">
        <v>195</v>
      </c>
    </row>
    <row r="23" customFormat="false" ht="15" hidden="false" customHeight="false" outlineLevel="0" collapsed="false">
      <c r="B23" s="3" t="s">
        <v>196</v>
      </c>
      <c r="C23" s="31" t="n">
        <f aca="false">C22*1_Inputs!$C$13</f>
        <v>1.81521100285174</v>
      </c>
      <c r="D23" s="9" t="s">
        <v>197</v>
      </c>
      <c r="E23" s="15" t="s">
        <v>198</v>
      </c>
    </row>
    <row r="24" customFormat="false" ht="15" hidden="false" customHeight="false" outlineLevel="0" collapsed="false">
      <c r="B24" s="3" t="s">
        <v>199</v>
      </c>
      <c r="C24" s="30" t="n">
        <f aca="false">1_Inputs!$C$5*(1_Inputs!$C$11/1000000)*(1_Inputs!$C$38/1_Inputs!$C$35)</f>
        <v>0.157080396180958</v>
      </c>
      <c r="D24" s="9" t="s">
        <v>180</v>
      </c>
      <c r="E24" s="15" t="s">
        <v>195</v>
      </c>
    </row>
    <row r="25" customFormat="false" ht="15" hidden="false" customHeight="false" outlineLevel="0" collapsed="false">
      <c r="B25" s="3" t="s">
        <v>200</v>
      </c>
      <c r="C25" s="31" t="n">
        <f aca="false">C24*1_Inputs!$C$13</f>
        <v>0.628321584723833</v>
      </c>
      <c r="D25" s="9" t="s">
        <v>197</v>
      </c>
      <c r="E25" s="15" t="s">
        <v>198</v>
      </c>
    </row>
  </sheetData>
  <mergeCells count="4">
    <mergeCell ref="A1:E1"/>
    <mergeCell ref="A3:E3"/>
    <mergeCell ref="A12:E1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201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202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57</v>
      </c>
      <c r="C4" s="5" t="s">
        <v>58</v>
      </c>
      <c r="D4" s="5" t="s">
        <v>59</v>
      </c>
      <c r="E4" s="5" t="s">
        <v>166</v>
      </c>
    </row>
    <row r="5" customFormat="false" ht="15" hidden="false" customHeight="false" outlineLevel="0" collapsed="false">
      <c r="B5" s="3" t="s">
        <v>203</v>
      </c>
      <c r="C5" s="32" t="n">
        <f aca="false">2_AdsLoad!$C$23/1_Inputs!$C$21*1_Inputs!$C$50</f>
        <v>36.3042200570349</v>
      </c>
      <c r="D5" s="9" t="s">
        <v>204</v>
      </c>
      <c r="E5" s="15" t="s">
        <v>205</v>
      </c>
    </row>
    <row r="6" customFormat="false" ht="15" hidden="false" customHeight="false" outlineLevel="0" collapsed="false">
      <c r="B6" s="3" t="s">
        <v>206</v>
      </c>
      <c r="C6" s="32" t="n">
        <f aca="false">2_AdsLoad!$C$25/1_Inputs!$C$24*1_Inputs!$C$50</f>
        <v>25.1328633889533</v>
      </c>
      <c r="D6" s="9" t="s">
        <v>204</v>
      </c>
      <c r="E6" s="15" t="s">
        <v>207</v>
      </c>
    </row>
    <row r="7" customFormat="false" ht="15" hidden="false" customHeight="false" outlineLevel="0" collapsed="false">
      <c r="B7" s="3" t="s">
        <v>208</v>
      </c>
      <c r="C7" s="32" t="n">
        <f aca="false">C5+C6</f>
        <v>61.4370834459882</v>
      </c>
      <c r="D7" s="9" t="s">
        <v>204</v>
      </c>
      <c r="E7" s="15" t="s">
        <v>209</v>
      </c>
    </row>
    <row r="8" customFormat="false" ht="15" hidden="false" customHeight="false" outlineLevel="0" collapsed="false">
      <c r="B8" s="3" t="s">
        <v>210</v>
      </c>
      <c r="C8" s="33" t="n">
        <f aca="false">C7*2</f>
        <v>122.874166891976</v>
      </c>
      <c r="D8" s="9" t="s">
        <v>204</v>
      </c>
      <c r="E8" s="15" t="s">
        <v>211</v>
      </c>
    </row>
    <row r="10" customFormat="false" ht="21.75" hidden="false" customHeight="true" outlineLevel="0" collapsed="false">
      <c r="A10" s="4" t="s">
        <v>212</v>
      </c>
      <c r="B10" s="4"/>
      <c r="C10" s="4"/>
      <c r="D10" s="4"/>
      <c r="E10" s="4"/>
    </row>
    <row r="11" customFormat="false" ht="15" hidden="false" customHeight="false" outlineLevel="0" collapsed="false">
      <c r="A11" s="5"/>
      <c r="B11" s="5" t="s">
        <v>57</v>
      </c>
      <c r="C11" s="5" t="s">
        <v>58</v>
      </c>
      <c r="D11" s="5" t="s">
        <v>59</v>
      </c>
      <c r="E11" s="5" t="s">
        <v>166</v>
      </c>
    </row>
    <row r="12" customFormat="false" ht="15" hidden="false" customHeight="false" outlineLevel="0" collapsed="false">
      <c r="B12" s="3" t="s">
        <v>213</v>
      </c>
      <c r="C12" s="14" t="n">
        <v>0.2</v>
      </c>
      <c r="D12" s="9" t="s">
        <v>214</v>
      </c>
      <c r="E12" s="15" t="s">
        <v>215</v>
      </c>
    </row>
    <row r="13" customFormat="false" ht="15" hidden="false" customHeight="false" outlineLevel="0" collapsed="false">
      <c r="B13" s="3" t="s">
        <v>216</v>
      </c>
      <c r="C13" s="28" t="n">
        <f aca="false">(2_AdsLoad!$C$9/3600)/C12</f>
        <v>0.0493767238144753</v>
      </c>
      <c r="D13" s="9" t="s">
        <v>217</v>
      </c>
      <c r="E13" s="15" t="s">
        <v>218</v>
      </c>
    </row>
    <row r="14" customFormat="false" ht="15" hidden="false" customHeight="false" outlineLevel="0" collapsed="false">
      <c r="B14" s="3" t="s">
        <v>219</v>
      </c>
      <c r="C14" s="27" t="n">
        <f aca="false">SQRT(4*C13/PI())</f>
        <v>0.250735712155362</v>
      </c>
      <c r="D14" s="9" t="s">
        <v>118</v>
      </c>
      <c r="E14" s="15" t="s">
        <v>220</v>
      </c>
    </row>
    <row r="15" customFormat="false" ht="15" hidden="false" customHeight="false" outlineLevel="0" collapsed="false">
      <c r="B15" s="3" t="s">
        <v>221</v>
      </c>
      <c r="C15" s="14" t="n">
        <v>0.25</v>
      </c>
      <c r="D15" s="9" t="s">
        <v>118</v>
      </c>
      <c r="E15" s="15" t="s">
        <v>222</v>
      </c>
    </row>
    <row r="16" customFormat="false" ht="15" hidden="false" customHeight="false" outlineLevel="0" collapsed="false">
      <c r="B16" s="3" t="s">
        <v>223</v>
      </c>
      <c r="C16" s="28" t="n">
        <f aca="false">PI()/4*C15^2</f>
        <v>0.0490873852123405</v>
      </c>
      <c r="D16" s="9" t="s">
        <v>217</v>
      </c>
      <c r="E16" s="15" t="s">
        <v>224</v>
      </c>
    </row>
    <row r="17" customFormat="false" ht="15" hidden="false" customHeight="false" outlineLevel="0" collapsed="false">
      <c r="B17" s="3" t="s">
        <v>225</v>
      </c>
      <c r="C17" s="31" t="n">
        <f aca="false">(2_AdsLoad!$C$9/3600)/C16</f>
        <v>0.20117887152018</v>
      </c>
      <c r="D17" s="9" t="s">
        <v>214</v>
      </c>
      <c r="E17" s="15" t="s">
        <v>226</v>
      </c>
    </row>
    <row r="19" customFormat="false" ht="21.75" hidden="false" customHeight="true" outlineLevel="0" collapsed="false">
      <c r="A19" s="4" t="s">
        <v>227</v>
      </c>
      <c r="B19" s="4"/>
      <c r="C19" s="4"/>
      <c r="D19" s="4"/>
      <c r="E19" s="4"/>
    </row>
    <row r="20" customFormat="false" ht="15" hidden="false" customHeight="false" outlineLevel="0" collapsed="false">
      <c r="A20" s="5"/>
      <c r="B20" s="5" t="s">
        <v>57</v>
      </c>
      <c r="C20" s="5" t="s">
        <v>58</v>
      </c>
      <c r="D20" s="5" t="s">
        <v>59</v>
      </c>
      <c r="E20" s="5" t="s">
        <v>166</v>
      </c>
    </row>
    <row r="21" customFormat="false" ht="15" hidden="false" customHeight="false" outlineLevel="0" collapsed="false">
      <c r="B21" s="3" t="s">
        <v>228</v>
      </c>
      <c r="C21" s="28" t="n">
        <f aca="false">C5/1_Inputs!$C$22</f>
        <v>0.0453802750712936</v>
      </c>
      <c r="D21" s="9" t="s">
        <v>229</v>
      </c>
      <c r="E21" s="15" t="s">
        <v>230</v>
      </c>
    </row>
    <row r="22" customFormat="false" ht="15" hidden="false" customHeight="false" outlineLevel="0" collapsed="false">
      <c r="B22" s="3" t="s">
        <v>231</v>
      </c>
      <c r="C22" s="27" t="n">
        <f aca="false">C21/C16</f>
        <v>0.924479372347684</v>
      </c>
      <c r="D22" s="9" t="s">
        <v>118</v>
      </c>
      <c r="E22" s="15" t="s">
        <v>232</v>
      </c>
    </row>
    <row r="23" customFormat="false" ht="15" hidden="false" customHeight="false" outlineLevel="0" collapsed="false">
      <c r="B23" s="3" t="s">
        <v>233</v>
      </c>
      <c r="C23" s="28" t="n">
        <f aca="false">C6/1_Inputs!$C$25</f>
        <v>0.0380800960438687</v>
      </c>
      <c r="D23" s="9" t="s">
        <v>229</v>
      </c>
      <c r="E23" s="15" t="s">
        <v>230</v>
      </c>
    </row>
    <row r="24" customFormat="false" ht="15" hidden="false" customHeight="false" outlineLevel="0" collapsed="false">
      <c r="B24" s="3" t="s">
        <v>234</v>
      </c>
      <c r="C24" s="27" t="n">
        <f aca="false">C23/C16</f>
        <v>0.775761346405866</v>
      </c>
      <c r="D24" s="9" t="s">
        <v>118</v>
      </c>
      <c r="E24" s="15" t="s">
        <v>232</v>
      </c>
    </row>
    <row r="25" customFormat="false" ht="15" hidden="false" customHeight="false" outlineLevel="0" collapsed="false">
      <c r="B25" s="3" t="s">
        <v>235</v>
      </c>
      <c r="C25" s="31" t="n">
        <f aca="false">C22+C24</f>
        <v>1.70024071875355</v>
      </c>
      <c r="D25" s="9" t="s">
        <v>118</v>
      </c>
      <c r="E25" s="15" t="s">
        <v>236</v>
      </c>
    </row>
    <row r="26" customFormat="false" ht="15" hidden="false" customHeight="false" outlineLevel="0" collapsed="false">
      <c r="B26" s="3" t="s">
        <v>237</v>
      </c>
      <c r="C26" s="31" t="n">
        <f aca="false">C25+1_Inputs!$C$53</f>
        <v>2.10024071875355</v>
      </c>
      <c r="D26" s="9" t="s">
        <v>118</v>
      </c>
      <c r="E26" s="15" t="s">
        <v>238</v>
      </c>
    </row>
    <row r="27" customFormat="false" ht="15" hidden="false" customHeight="false" outlineLevel="0" collapsed="false">
      <c r="B27" s="3" t="s">
        <v>239</v>
      </c>
      <c r="C27" s="32" t="n">
        <f aca="false">C26/C15</f>
        <v>8.4009628750142</v>
      </c>
      <c r="D27" s="9" t="s">
        <v>93</v>
      </c>
      <c r="E27" s="15" t="s">
        <v>240</v>
      </c>
    </row>
    <row r="29" customFormat="false" ht="21.75" hidden="false" customHeight="true" outlineLevel="0" collapsed="false">
      <c r="A29" s="4" t="s">
        <v>241</v>
      </c>
      <c r="B29" s="4"/>
      <c r="C29" s="4"/>
      <c r="D29" s="4"/>
      <c r="E29" s="4"/>
    </row>
    <row r="30" customFormat="false" ht="15" hidden="false" customHeight="false" outlineLevel="0" collapsed="false">
      <c r="A30" s="5"/>
      <c r="B30" s="5" t="s">
        <v>57</v>
      </c>
      <c r="C30" s="5" t="s">
        <v>58</v>
      </c>
      <c r="D30" s="5" t="s">
        <v>59</v>
      </c>
      <c r="E30" s="5" t="s">
        <v>166</v>
      </c>
    </row>
    <row r="31" customFormat="false" ht="15" hidden="false" customHeight="false" outlineLevel="0" collapsed="false">
      <c r="B31" s="3" t="s">
        <v>242</v>
      </c>
      <c r="C31" s="27" t="n">
        <f aca="false">2_AdsLoad!$C$6*1000*1_Inputs!$C$36/(8314*2_AdsLoad!$C$7)</f>
        <v>7.26907539494751</v>
      </c>
      <c r="D31" s="9" t="s">
        <v>100</v>
      </c>
      <c r="E31" s="15" t="s">
        <v>243</v>
      </c>
    </row>
    <row r="32" customFormat="false" ht="15" hidden="false" customHeight="false" outlineLevel="0" collapsed="false">
      <c r="B32" s="3" t="s">
        <v>244</v>
      </c>
      <c r="C32" s="25" t="n">
        <f aca="false">(150*1_Inputs!$C$41*(1-1_Inputs!$C$27)^2/(1_Inputs!$C$27^3*1_Inputs!$C$30^2)*C17 + 1.75*C31*(1-1_Inputs!$C$27)/(1_Inputs!$C$27^3*1_Inputs!$C$30)*C17^2)*C22/1000</f>
        <v>2.1857062073587</v>
      </c>
      <c r="D32" s="9" t="s">
        <v>169</v>
      </c>
      <c r="E32" s="15" t="s">
        <v>245</v>
      </c>
    </row>
    <row r="33" customFormat="false" ht="15" hidden="false" customHeight="false" outlineLevel="0" collapsed="false">
      <c r="B33" s="3" t="s">
        <v>246</v>
      </c>
      <c r="C33" s="25" t="n">
        <f aca="false">(150*1_Inputs!$C$41*(1-1_Inputs!$C$27)^2/(1_Inputs!$C$27^3*1_Inputs!$C$31^2)*C17 + 1.75*C31*(1-1_Inputs!$C$27)/(1_Inputs!$C$27^3*1_Inputs!$C$31)*C17^2)*C24/1000</f>
        <v>3.98003776443222</v>
      </c>
      <c r="D33" s="9" t="s">
        <v>169</v>
      </c>
      <c r="E33" s="15" t="s">
        <v>247</v>
      </c>
    </row>
    <row r="34" customFormat="false" ht="15" hidden="false" customHeight="false" outlineLevel="0" collapsed="false">
      <c r="B34" s="3" t="s">
        <v>248</v>
      </c>
      <c r="C34" s="34" t="n">
        <f aca="false">C32+C33</f>
        <v>6.16574397179092</v>
      </c>
      <c r="D34" s="9" t="s">
        <v>169</v>
      </c>
      <c r="E34" s="15" t="s">
        <v>249</v>
      </c>
    </row>
    <row r="35" customFormat="false" ht="15" hidden="false" customHeight="false" outlineLevel="0" collapsed="false">
      <c r="B35" s="3" t="s">
        <v>248</v>
      </c>
      <c r="C35" s="31" t="n">
        <f aca="false">C34/100</f>
        <v>0.0616574397179092</v>
      </c>
      <c r="D35" s="9" t="s">
        <v>250</v>
      </c>
      <c r="E35" s="15" t="s">
        <v>251</v>
      </c>
    </row>
    <row r="37" customFormat="false" ht="21.75" hidden="false" customHeight="true" outlineLevel="0" collapsed="false">
      <c r="A37" s="4" t="s">
        <v>252</v>
      </c>
      <c r="B37" s="4"/>
      <c r="C37" s="4"/>
      <c r="D37" s="4"/>
      <c r="E37" s="4"/>
    </row>
    <row r="38" customFormat="false" ht="15" hidden="false" customHeight="false" outlineLevel="0" collapsed="false">
      <c r="A38" s="5"/>
      <c r="B38" s="5" t="s">
        <v>57</v>
      </c>
      <c r="C38" s="5" t="s">
        <v>58</v>
      </c>
      <c r="D38" s="5" t="s">
        <v>59</v>
      </c>
      <c r="E38" s="5" t="s">
        <v>166</v>
      </c>
    </row>
    <row r="39" customFormat="false" ht="15" hidden="false" customHeight="false" outlineLevel="0" collapsed="false">
      <c r="B39" s="3" t="s">
        <v>253</v>
      </c>
      <c r="C39" s="24" t="n">
        <f aca="false">1_Inputs!$C$6</f>
        <v>5</v>
      </c>
      <c r="D39" s="9" t="s">
        <v>65</v>
      </c>
      <c r="E39" s="15" t="s">
        <v>254</v>
      </c>
    </row>
    <row r="40" customFormat="false" ht="15" hidden="false" customHeight="false" outlineLevel="0" collapsed="false">
      <c r="B40" s="3" t="s">
        <v>255</v>
      </c>
      <c r="C40" s="32" t="n">
        <f aca="false">C39*1_Inputs!$C$54</f>
        <v>7.5</v>
      </c>
      <c r="D40" s="9" t="s">
        <v>65</v>
      </c>
      <c r="E40" s="15" t="s">
        <v>256</v>
      </c>
    </row>
  </sheetData>
  <mergeCells count="6">
    <mergeCell ref="A1:E1"/>
    <mergeCell ref="A3:E3"/>
    <mergeCell ref="A10:E10"/>
    <mergeCell ref="A19:E19"/>
    <mergeCell ref="A29:E29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257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258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57</v>
      </c>
      <c r="C4" s="5" t="s">
        <v>58</v>
      </c>
      <c r="D4" s="5" t="s">
        <v>59</v>
      </c>
      <c r="E4" s="5" t="s">
        <v>166</v>
      </c>
    </row>
    <row r="5" customFormat="false" ht="15" hidden="false" customHeight="false" outlineLevel="0" collapsed="false">
      <c r="B5" s="3" t="s">
        <v>259</v>
      </c>
      <c r="C5" s="35" t="n">
        <f aca="false">1_Inputs!$C$16-1_Inputs!$C$8</f>
        <v>185</v>
      </c>
      <c r="D5" s="9" t="s">
        <v>71</v>
      </c>
      <c r="E5" s="15" t="s">
        <v>260</v>
      </c>
    </row>
    <row r="6" customFormat="false" ht="15" hidden="false" customHeight="false" outlineLevel="0" collapsed="false">
      <c r="B6" s="3" t="s">
        <v>261</v>
      </c>
      <c r="C6" s="36" t="n">
        <f aca="false">3_Column!$C$5*1_Inputs!$C$23*C5</f>
        <v>6178.97825370733</v>
      </c>
      <c r="D6" s="9" t="s">
        <v>262</v>
      </c>
      <c r="E6" s="15" t="s">
        <v>263</v>
      </c>
    </row>
    <row r="7" customFormat="false" ht="15" hidden="false" customHeight="false" outlineLevel="0" collapsed="false">
      <c r="B7" s="3" t="s">
        <v>264</v>
      </c>
      <c r="C7" s="36" t="n">
        <f aca="false">3_Column!$C$6*1_Inputs!$C$26*C5</f>
        <v>4463.59653787811</v>
      </c>
      <c r="D7" s="9" t="s">
        <v>262</v>
      </c>
      <c r="E7" s="15" t="s">
        <v>263</v>
      </c>
    </row>
    <row r="8" customFormat="false" ht="15" hidden="false" customHeight="false" outlineLevel="0" collapsed="false">
      <c r="B8" s="3" t="s">
        <v>265</v>
      </c>
      <c r="C8" s="33" t="n">
        <f aca="false">PI()*3_Column!$C$15*3_Column!$C$26*0.006*7900</f>
        <v>78.1874946317547</v>
      </c>
      <c r="D8" s="9" t="s">
        <v>204</v>
      </c>
      <c r="E8" s="15" t="s">
        <v>266</v>
      </c>
    </row>
    <row r="9" customFormat="false" ht="15" hidden="false" customHeight="false" outlineLevel="0" collapsed="false">
      <c r="B9" s="3" t="s">
        <v>267</v>
      </c>
      <c r="C9" s="36" t="n">
        <f aca="false">C8*1_Inputs!$C$43*C5</f>
        <v>7232.34325343731</v>
      </c>
      <c r="D9" s="9" t="s">
        <v>262</v>
      </c>
      <c r="E9" s="15" t="s">
        <v>268</v>
      </c>
    </row>
    <row r="10" customFormat="false" ht="15" hidden="false" customHeight="false" outlineLevel="0" collapsed="false">
      <c r="B10" s="3" t="s">
        <v>269</v>
      </c>
      <c r="C10" s="36" t="n">
        <f aca="false">C6+C7+C9</f>
        <v>17874.9180450228</v>
      </c>
      <c r="D10" s="9" t="s">
        <v>262</v>
      </c>
      <c r="E10" s="15" t="s">
        <v>270</v>
      </c>
    </row>
    <row r="12" customFormat="false" ht="21.75" hidden="false" customHeight="true" outlineLevel="0" collapsed="false">
      <c r="A12" s="4" t="s">
        <v>271</v>
      </c>
      <c r="B12" s="4"/>
      <c r="C12" s="4"/>
      <c r="D12" s="4"/>
      <c r="E12" s="4"/>
    </row>
    <row r="13" customFormat="false" ht="15" hidden="false" customHeight="false" outlineLevel="0" collapsed="false">
      <c r="A13" s="5"/>
      <c r="B13" s="5" t="s">
        <v>57</v>
      </c>
      <c r="C13" s="5" t="s">
        <v>58</v>
      </c>
      <c r="D13" s="5" t="s">
        <v>59</v>
      </c>
      <c r="E13" s="5" t="s">
        <v>166</v>
      </c>
    </row>
    <row r="14" customFormat="false" ht="15" hidden="false" customHeight="false" outlineLevel="0" collapsed="false">
      <c r="B14" s="3" t="s">
        <v>272</v>
      </c>
      <c r="C14" s="36" t="n">
        <f aca="false">2_AdsLoad!$C$23*1_Inputs!$C$28</f>
        <v>5445.63300855523</v>
      </c>
      <c r="D14" s="9" t="s">
        <v>262</v>
      </c>
      <c r="E14" s="15" t="s">
        <v>273</v>
      </c>
    </row>
    <row r="15" customFormat="false" ht="15" hidden="false" customHeight="false" outlineLevel="0" collapsed="false">
      <c r="B15" s="3" t="s">
        <v>274</v>
      </c>
      <c r="C15" s="36" t="n">
        <f aca="false">2_AdsLoad!$C$25*1_Inputs!$C$29</f>
        <v>439.825109306683</v>
      </c>
      <c r="D15" s="9" t="s">
        <v>262</v>
      </c>
      <c r="E15" s="15" t="s">
        <v>275</v>
      </c>
    </row>
    <row r="16" customFormat="false" ht="15" hidden="false" customHeight="false" outlineLevel="0" collapsed="false">
      <c r="B16" s="3" t="s">
        <v>276</v>
      </c>
      <c r="C16" s="36" t="n">
        <f aca="false">C14+C15</f>
        <v>5885.45811786191</v>
      </c>
      <c r="D16" s="9" t="s">
        <v>262</v>
      </c>
      <c r="E16" s="15" t="s">
        <v>270</v>
      </c>
    </row>
    <row r="18" customFormat="false" ht="21.75" hidden="false" customHeight="true" outlineLevel="0" collapsed="false">
      <c r="A18" s="4" t="s">
        <v>277</v>
      </c>
      <c r="B18" s="4"/>
      <c r="C18" s="4"/>
      <c r="D18" s="4"/>
      <c r="E18" s="4"/>
    </row>
    <row r="19" customFormat="false" ht="15" hidden="false" customHeight="false" outlineLevel="0" collapsed="false">
      <c r="A19" s="5"/>
      <c r="B19" s="5" t="s">
        <v>57</v>
      </c>
      <c r="C19" s="5" t="s">
        <v>58</v>
      </c>
      <c r="D19" s="5" t="s">
        <v>59</v>
      </c>
      <c r="E19" s="5" t="s">
        <v>166</v>
      </c>
    </row>
    <row r="20" customFormat="false" ht="15" hidden="false" customHeight="false" outlineLevel="0" collapsed="false">
      <c r="B20" s="3" t="s">
        <v>278</v>
      </c>
      <c r="C20" s="36" t="n">
        <f aca="false">(C10+C16)*1_Inputs!$C$56</f>
        <v>27324.4325873174</v>
      </c>
      <c r="D20" s="9" t="s">
        <v>262</v>
      </c>
      <c r="E20" s="15" t="s">
        <v>279</v>
      </c>
    </row>
    <row r="21" customFormat="false" ht="15" hidden="false" customHeight="false" outlineLevel="0" collapsed="false">
      <c r="B21" s="3" t="s">
        <v>280</v>
      </c>
      <c r="C21" s="33" t="n">
        <f aca="false">C20/3600</f>
        <v>7.59012016314371</v>
      </c>
      <c r="D21" s="9" t="s">
        <v>281</v>
      </c>
      <c r="E21" s="15" t="s">
        <v>282</v>
      </c>
    </row>
    <row r="22" customFormat="false" ht="15" hidden="false" customHeight="false" outlineLevel="0" collapsed="false">
      <c r="B22" s="3" t="s">
        <v>283</v>
      </c>
      <c r="C22" s="25" t="n">
        <f aca="false">C21/1_Inputs!$C$14</f>
        <v>3.79506008157186</v>
      </c>
      <c r="D22" s="9" t="s">
        <v>284</v>
      </c>
      <c r="E22" s="15" t="s">
        <v>285</v>
      </c>
    </row>
    <row r="23" customFormat="false" ht="15" hidden="false" customHeight="false" outlineLevel="0" collapsed="false">
      <c r="B23" s="3" t="s">
        <v>286</v>
      </c>
      <c r="C23" s="33" t="n">
        <f aca="false">C22*1_Inputs!$C$52</f>
        <v>4.55407209788623</v>
      </c>
      <c r="D23" s="9" t="s">
        <v>284</v>
      </c>
      <c r="E23" s="15" t="s">
        <v>287</v>
      </c>
    </row>
    <row r="24" customFormat="false" ht="15" hidden="false" customHeight="false" outlineLevel="0" collapsed="false">
      <c r="B24" s="3" t="s">
        <v>288</v>
      </c>
      <c r="C24" s="37" t="n">
        <f aca="false">CEILING(C23,5)</f>
        <v>5</v>
      </c>
      <c r="D24" s="9" t="s">
        <v>284</v>
      </c>
      <c r="E24" s="15" t="s">
        <v>289</v>
      </c>
    </row>
    <row r="26" customFormat="false" ht="21.75" hidden="false" customHeight="true" outlineLevel="0" collapsed="false">
      <c r="A26" s="4" t="s">
        <v>290</v>
      </c>
      <c r="B26" s="4"/>
      <c r="C26" s="4"/>
      <c r="D26" s="4"/>
      <c r="E26" s="4"/>
    </row>
    <row r="27" customFormat="false" ht="15" hidden="false" customHeight="false" outlineLevel="0" collapsed="false">
      <c r="A27" s="5"/>
      <c r="B27" s="5" t="s">
        <v>57</v>
      </c>
      <c r="C27" s="5" t="s">
        <v>58</v>
      </c>
      <c r="D27" s="5" t="s">
        <v>59</v>
      </c>
      <c r="E27" s="5" t="s">
        <v>166</v>
      </c>
    </row>
    <row r="28" customFormat="false" ht="15" hidden="false" customHeight="false" outlineLevel="0" collapsed="false">
      <c r="B28" s="3" t="s">
        <v>291</v>
      </c>
      <c r="C28" s="35" t="n">
        <f aca="false">1_Inputs!$C$5*1_Inputs!$C$17</f>
        <v>60</v>
      </c>
      <c r="D28" s="9" t="s">
        <v>62</v>
      </c>
      <c r="E28" s="15" t="s">
        <v>292</v>
      </c>
    </row>
    <row r="29" customFormat="false" ht="15" hidden="false" customHeight="false" outlineLevel="0" collapsed="false">
      <c r="B29" s="3" t="s">
        <v>293</v>
      </c>
      <c r="C29" s="25" t="n">
        <f aca="false">C28*(1_Inputs!$C$36/1_Inputs!$C$35)</f>
        <v>77.5229767109842</v>
      </c>
      <c r="D29" s="9" t="s">
        <v>180</v>
      </c>
      <c r="E29" s="15" t="s">
        <v>294</v>
      </c>
    </row>
    <row r="30" customFormat="false" ht="15" hidden="false" customHeight="false" outlineLevel="0" collapsed="false">
      <c r="B30" s="3" t="s">
        <v>295</v>
      </c>
      <c r="C30" s="36" t="n">
        <f aca="false">C29*1_Inputs!$C$39*(1_Inputs!$C$16-1_Inputs!$C$8)</f>
        <v>14413.4594449897</v>
      </c>
      <c r="D30" s="9" t="s">
        <v>296</v>
      </c>
      <c r="E30" s="15" t="s">
        <v>263</v>
      </c>
    </row>
    <row r="31" customFormat="false" ht="15" hidden="false" customHeight="false" outlineLevel="0" collapsed="false">
      <c r="B31" s="3" t="s">
        <v>297</v>
      </c>
      <c r="C31" s="33" t="n">
        <f aca="false">C30*1_Inputs!$C$14/3600</f>
        <v>8.00747746943874</v>
      </c>
      <c r="D31" s="9" t="s">
        <v>281</v>
      </c>
      <c r="E31" s="15" t="s">
        <v>298</v>
      </c>
    </row>
  </sheetData>
  <mergeCells count="5">
    <mergeCell ref="A1:E1"/>
    <mergeCell ref="A3:E3"/>
    <mergeCell ref="A12:E12"/>
    <mergeCell ref="A18:E18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1" t="s">
        <v>299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300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57</v>
      </c>
      <c r="C4" s="5" t="s">
        <v>58</v>
      </c>
      <c r="D4" s="5" t="s">
        <v>59</v>
      </c>
      <c r="E4" s="5" t="s">
        <v>166</v>
      </c>
    </row>
    <row r="5" customFormat="false" ht="15" hidden="false" customHeight="false" outlineLevel="0" collapsed="false">
      <c r="B5" s="3" t="s">
        <v>301</v>
      </c>
      <c r="C5" s="22" t="n">
        <f aca="false">1_Inputs!$C$7</f>
        <v>1.01325</v>
      </c>
      <c r="D5" s="9" t="s">
        <v>68</v>
      </c>
      <c r="E5" s="15" t="s">
        <v>302</v>
      </c>
    </row>
    <row r="6" customFormat="false" ht="15" hidden="false" customHeight="false" outlineLevel="0" collapsed="false">
      <c r="B6" s="3" t="s">
        <v>303</v>
      </c>
      <c r="C6" s="24" t="n">
        <f aca="false">1_Inputs!$C$6+1+1_Inputs!$C$7</f>
        <v>7.01325</v>
      </c>
      <c r="D6" s="9" t="s">
        <v>68</v>
      </c>
      <c r="E6" s="15" t="s">
        <v>304</v>
      </c>
    </row>
    <row r="7" customFormat="false" ht="15" hidden="false" customHeight="false" outlineLevel="0" collapsed="false">
      <c r="B7" s="3" t="s">
        <v>305</v>
      </c>
      <c r="C7" s="25" t="n">
        <f aca="false">C6/C5</f>
        <v>6.92153960029608</v>
      </c>
      <c r="D7" s="9" t="s">
        <v>93</v>
      </c>
      <c r="E7" s="15" t="s">
        <v>306</v>
      </c>
    </row>
    <row r="8" customFormat="false" ht="15" hidden="false" customHeight="false" outlineLevel="0" collapsed="false">
      <c r="B8" s="3" t="s">
        <v>307</v>
      </c>
      <c r="C8" s="38" t="n">
        <v>20</v>
      </c>
      <c r="D8" s="9" t="s">
        <v>71</v>
      </c>
      <c r="E8" s="15" t="s">
        <v>308</v>
      </c>
    </row>
    <row r="9" customFormat="false" ht="15" hidden="false" customHeight="false" outlineLevel="0" collapsed="false">
      <c r="B9" s="3" t="s">
        <v>309</v>
      </c>
      <c r="C9" s="25" t="n">
        <f aca="false">C8+273.15</f>
        <v>293.15</v>
      </c>
      <c r="D9" s="9" t="s">
        <v>172</v>
      </c>
      <c r="E9" s="15" t="s">
        <v>310</v>
      </c>
    </row>
    <row r="11" customFormat="false" ht="21.75" hidden="false" customHeight="true" outlineLevel="0" collapsed="false">
      <c r="A11" s="4" t="s">
        <v>311</v>
      </c>
      <c r="B11" s="4"/>
      <c r="C11" s="4"/>
      <c r="D11" s="4"/>
      <c r="E11" s="4"/>
    </row>
    <row r="12" customFormat="false" ht="15" hidden="false" customHeight="false" outlineLevel="0" collapsed="false">
      <c r="A12" s="5"/>
      <c r="B12" s="5" t="s">
        <v>57</v>
      </c>
      <c r="C12" s="5" t="s">
        <v>58</v>
      </c>
      <c r="D12" s="5" t="s">
        <v>59</v>
      </c>
      <c r="E12" s="5" t="s">
        <v>166</v>
      </c>
    </row>
    <row r="13" customFormat="false" ht="15" hidden="false" customHeight="false" outlineLevel="0" collapsed="false">
      <c r="B13" s="3" t="s">
        <v>312</v>
      </c>
      <c r="C13" s="26" t="n">
        <f aca="false">2_AdsLoad!$C$10/3600</f>
        <v>0.071780533991652</v>
      </c>
      <c r="D13" s="9" t="s">
        <v>313</v>
      </c>
      <c r="E13" s="15" t="s">
        <v>314</v>
      </c>
    </row>
    <row r="14" customFormat="false" ht="15" hidden="false" customHeight="false" outlineLevel="0" collapsed="false">
      <c r="B14" s="3" t="s">
        <v>315</v>
      </c>
      <c r="C14" s="26" t="n">
        <f aca="false">8.314/1_Inputs!$C$36</f>
        <v>0.287085635359116</v>
      </c>
      <c r="D14" s="9" t="s">
        <v>103</v>
      </c>
      <c r="E14" s="15" t="s">
        <v>316</v>
      </c>
    </row>
    <row r="15" customFormat="false" ht="15" hidden="false" customHeight="false" outlineLevel="0" collapsed="false">
      <c r="B15" s="3" t="s">
        <v>317</v>
      </c>
      <c r="C15" s="26" t="n">
        <f aca="false">(1_Inputs!$C$42-1)/1_Inputs!$C$42</f>
        <v>0.285714285714286</v>
      </c>
      <c r="D15" s="9" t="s">
        <v>93</v>
      </c>
      <c r="E15" s="15" t="s">
        <v>318</v>
      </c>
    </row>
    <row r="16" customFormat="false" ht="15" hidden="false" customHeight="false" outlineLevel="0" collapsed="false">
      <c r="B16" s="3" t="s">
        <v>319</v>
      </c>
      <c r="C16" s="33" t="n">
        <f aca="false">(1_Inputs!$C$42/(1_Inputs!$C$42-1))*C14*C9*((C7^C15)-1)</f>
        <v>217.392695449408</v>
      </c>
      <c r="D16" s="9" t="s">
        <v>113</v>
      </c>
      <c r="E16" s="15" t="s">
        <v>320</v>
      </c>
    </row>
    <row r="17" customFormat="false" ht="15" hidden="false" customHeight="false" outlineLevel="0" collapsed="false">
      <c r="B17" s="3" t="s">
        <v>321</v>
      </c>
      <c r="C17" s="33" t="n">
        <f aca="false">C13*C16</f>
        <v>15.6045637652431</v>
      </c>
      <c r="D17" s="9" t="s">
        <v>284</v>
      </c>
      <c r="E17" s="15" t="s">
        <v>322</v>
      </c>
    </row>
    <row r="18" customFormat="false" ht="15" hidden="false" customHeight="false" outlineLevel="0" collapsed="false">
      <c r="B18" s="3" t="s">
        <v>323</v>
      </c>
      <c r="C18" s="33" t="n">
        <f aca="false">C17/1_Inputs!$C$55</f>
        <v>22.2922339503472</v>
      </c>
      <c r="D18" s="9" t="s">
        <v>284</v>
      </c>
      <c r="E18" s="15" t="s">
        <v>324</v>
      </c>
    </row>
    <row r="19" customFormat="false" ht="15" hidden="false" customHeight="false" outlineLevel="0" collapsed="false">
      <c r="B19" s="3" t="s">
        <v>325</v>
      </c>
      <c r="C19" s="33" t="n">
        <f aca="false">C18*1_Inputs!$C$51</f>
        <v>25.6360690428993</v>
      </c>
      <c r="D19" s="9" t="s">
        <v>284</v>
      </c>
      <c r="E19" s="15" t="s">
        <v>326</v>
      </c>
    </row>
    <row r="20" customFormat="false" ht="15" hidden="false" customHeight="false" outlineLevel="0" collapsed="false">
      <c r="B20" s="3" t="s">
        <v>327</v>
      </c>
      <c r="C20" s="32" t="n">
        <f aca="false">CEILING(C19,2.5)</f>
        <v>27.5</v>
      </c>
      <c r="D20" s="9" t="s">
        <v>284</v>
      </c>
      <c r="E20" s="15" t="s">
        <v>328</v>
      </c>
    </row>
    <row r="22" customFormat="false" ht="21.75" hidden="false" customHeight="true" outlineLevel="0" collapsed="false">
      <c r="A22" s="4" t="s">
        <v>329</v>
      </c>
      <c r="B22" s="4"/>
      <c r="C22" s="4"/>
      <c r="D22" s="4"/>
      <c r="E22" s="4"/>
    </row>
    <row r="23" customFormat="false" ht="15" hidden="false" customHeight="false" outlineLevel="0" collapsed="false">
      <c r="A23" s="5"/>
      <c r="B23" s="5" t="s">
        <v>57</v>
      </c>
      <c r="C23" s="5" t="s">
        <v>58</v>
      </c>
      <c r="D23" s="5" t="s">
        <v>59</v>
      </c>
      <c r="E23" s="5" t="s">
        <v>166</v>
      </c>
    </row>
    <row r="24" customFormat="false" ht="15" hidden="false" customHeight="false" outlineLevel="0" collapsed="false">
      <c r="B24" s="3" t="s">
        <v>330</v>
      </c>
      <c r="C24" s="33" t="n">
        <f aca="false">C9*(C7^C15)</f>
        <v>509.504254792771</v>
      </c>
      <c r="D24" s="9" t="s">
        <v>172</v>
      </c>
      <c r="E24" s="15" t="s">
        <v>331</v>
      </c>
    </row>
    <row r="25" customFormat="false" ht="15" hidden="false" customHeight="false" outlineLevel="0" collapsed="false">
      <c r="B25" s="3" t="s">
        <v>330</v>
      </c>
      <c r="C25" s="32" t="n">
        <f aca="false">C24-273.15</f>
        <v>236.354254792771</v>
      </c>
      <c r="D25" s="9" t="s">
        <v>71</v>
      </c>
      <c r="E25" s="15" t="s">
        <v>332</v>
      </c>
    </row>
  </sheetData>
  <mergeCells count="4">
    <mergeCell ref="A1:E1"/>
    <mergeCell ref="A3:E3"/>
    <mergeCell ref="A11:E1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333</v>
      </c>
      <c r="B1" s="1"/>
      <c r="C1" s="1"/>
      <c r="D1" s="1"/>
      <c r="E1" s="1"/>
    </row>
    <row r="3" customFormat="false" ht="21.75" hidden="false" customHeight="true" outlineLevel="0" collapsed="false">
      <c r="A3" s="4" t="s">
        <v>334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 t="s">
        <v>335</v>
      </c>
      <c r="C4" s="5" t="s">
        <v>58</v>
      </c>
      <c r="D4" s="5" t="s">
        <v>59</v>
      </c>
      <c r="E4" s="5" t="s">
        <v>149</v>
      </c>
    </row>
    <row r="5" customFormat="false" ht="15" hidden="false" customHeight="false" outlineLevel="0" collapsed="false">
      <c r="B5" s="3" t="s">
        <v>336</v>
      </c>
      <c r="C5" s="22" t="n">
        <f aca="false">1_Inputs!$C$5</f>
        <v>200</v>
      </c>
      <c r="D5" s="9" t="s">
        <v>62</v>
      </c>
      <c r="E5" s="15" t="s">
        <v>337</v>
      </c>
    </row>
    <row r="6" customFormat="false" ht="15" hidden="false" customHeight="false" outlineLevel="0" collapsed="false">
      <c r="B6" s="3" t="s">
        <v>338</v>
      </c>
      <c r="C6" s="22" t="n">
        <f aca="false">1_Inputs!$C$6</f>
        <v>5</v>
      </c>
      <c r="D6" s="9" t="s">
        <v>65</v>
      </c>
      <c r="E6" s="15" t="s">
        <v>339</v>
      </c>
    </row>
    <row r="7" customFormat="false" ht="15" hidden="false" customHeight="false" outlineLevel="0" collapsed="false">
      <c r="B7" s="3" t="s">
        <v>340</v>
      </c>
      <c r="C7" s="22" t="n">
        <f aca="false">1_Inputs!$C$8</f>
        <v>15</v>
      </c>
      <c r="D7" s="9" t="s">
        <v>71</v>
      </c>
      <c r="E7" s="15" t="s">
        <v>339</v>
      </c>
    </row>
    <row r="8" customFormat="false" ht="15" hidden="false" customHeight="false" outlineLevel="0" collapsed="false">
      <c r="B8" s="3" t="s">
        <v>341</v>
      </c>
      <c r="C8" s="22" t="n">
        <f aca="false">2_AdsLoad!$C$18</f>
        <v>2823.07378697745</v>
      </c>
      <c r="D8" s="9" t="s">
        <v>79</v>
      </c>
      <c r="E8" s="15" t="s">
        <v>342</v>
      </c>
    </row>
    <row r="9" customFormat="false" ht="15" hidden="false" customHeight="false" outlineLevel="0" collapsed="false">
      <c r="B9" s="3" t="s">
        <v>78</v>
      </c>
      <c r="C9" s="22" t="n">
        <f aca="false">1_Inputs!$C$11</f>
        <v>400</v>
      </c>
      <c r="D9" s="9" t="s">
        <v>79</v>
      </c>
      <c r="E9" s="15" t="s">
        <v>343</v>
      </c>
    </row>
    <row r="10" customFormat="false" ht="15" hidden="false" customHeight="false" outlineLevel="0" collapsed="false">
      <c r="B10" s="3" t="s">
        <v>81</v>
      </c>
      <c r="C10" s="22" t="n">
        <f aca="false">1_Inputs!$C$12</f>
        <v>0.1</v>
      </c>
      <c r="D10" s="9" t="s">
        <v>79</v>
      </c>
      <c r="E10" s="15" t="s">
        <v>344</v>
      </c>
    </row>
    <row r="11" customFormat="false" ht="15" hidden="false" customHeight="false" outlineLevel="0" collapsed="false">
      <c r="B11" s="3" t="s">
        <v>345</v>
      </c>
      <c r="C11" s="39" t="str">
        <f aca="false">1_Inputs!$C$13&amp;" / "&amp;1_Inputs!$C$13</f>
        <v>4 / 4</v>
      </c>
      <c r="D11" s="9" t="s">
        <v>346</v>
      </c>
      <c r="E11" s="15" t="s">
        <v>347</v>
      </c>
    </row>
    <row r="13" customFormat="false" ht="21.75" hidden="false" customHeight="true" outlineLevel="0" collapsed="false">
      <c r="A13" s="4" t="s">
        <v>348</v>
      </c>
      <c r="B13" s="4"/>
      <c r="C13" s="4"/>
      <c r="D13" s="4"/>
      <c r="E13" s="4"/>
    </row>
    <row r="14" customFormat="false" ht="15" hidden="false" customHeight="false" outlineLevel="0" collapsed="false">
      <c r="A14" s="5"/>
      <c r="B14" s="5" t="s">
        <v>335</v>
      </c>
      <c r="C14" s="5" t="s">
        <v>58</v>
      </c>
      <c r="D14" s="5" t="s">
        <v>59</v>
      </c>
      <c r="E14" s="5" t="s">
        <v>149</v>
      </c>
    </row>
    <row r="15" customFormat="false" ht="15" hidden="false" customHeight="false" outlineLevel="0" collapsed="false">
      <c r="B15" s="3" t="s">
        <v>349</v>
      </c>
      <c r="C15" s="22" t="n">
        <f aca="false">2_AdsLoad!$C$22</f>
        <v>0.453802750712936</v>
      </c>
      <c r="D15" s="9" t="s">
        <v>180</v>
      </c>
      <c r="E15" s="15"/>
    </row>
    <row r="16" customFormat="false" ht="15" hidden="false" customHeight="false" outlineLevel="0" collapsed="false">
      <c r="B16" s="3" t="s">
        <v>350</v>
      </c>
      <c r="C16" s="22" t="n">
        <f aca="false">2_AdsLoad!$C$23</f>
        <v>1.81521100285174</v>
      </c>
      <c r="D16" s="9" t="s">
        <v>197</v>
      </c>
      <c r="E16" s="15"/>
    </row>
    <row r="17" customFormat="false" ht="15" hidden="false" customHeight="false" outlineLevel="0" collapsed="false">
      <c r="B17" s="3" t="s">
        <v>351</v>
      </c>
      <c r="C17" s="22" t="n">
        <f aca="false">2_AdsLoad!$C$24</f>
        <v>0.157080396180958</v>
      </c>
      <c r="D17" s="9" t="s">
        <v>180</v>
      </c>
      <c r="E17" s="15"/>
    </row>
    <row r="18" customFormat="false" ht="15" hidden="false" customHeight="false" outlineLevel="0" collapsed="false">
      <c r="B18" s="3" t="s">
        <v>352</v>
      </c>
      <c r="C18" s="22" t="n">
        <f aca="false">2_AdsLoad!$C$25</f>
        <v>0.628321584723833</v>
      </c>
      <c r="D18" s="9" t="s">
        <v>197</v>
      </c>
      <c r="E18" s="15"/>
    </row>
    <row r="20" customFormat="false" ht="21.75" hidden="false" customHeight="true" outlineLevel="0" collapsed="false">
      <c r="A20" s="4" t="s">
        <v>353</v>
      </c>
      <c r="B20" s="4"/>
      <c r="C20" s="4"/>
      <c r="D20" s="4"/>
      <c r="E20" s="4"/>
    </row>
    <row r="21" customFormat="false" ht="15" hidden="false" customHeight="false" outlineLevel="0" collapsed="false">
      <c r="A21" s="5"/>
      <c r="B21" s="5" t="s">
        <v>335</v>
      </c>
      <c r="C21" s="5" t="s">
        <v>58</v>
      </c>
      <c r="D21" s="5" t="s">
        <v>59</v>
      </c>
      <c r="E21" s="5" t="s">
        <v>149</v>
      </c>
    </row>
    <row r="22" customFormat="false" ht="15" hidden="false" customHeight="false" outlineLevel="0" collapsed="false">
      <c r="B22" s="3" t="s">
        <v>354</v>
      </c>
      <c r="C22" s="35" t="n">
        <f aca="false">3_Column!$C$5</f>
        <v>36.3042200570349</v>
      </c>
      <c r="D22" s="9" t="s">
        <v>204</v>
      </c>
      <c r="E22" s="15" t="s">
        <v>209</v>
      </c>
    </row>
    <row r="23" customFormat="false" ht="15" hidden="false" customHeight="false" outlineLevel="0" collapsed="false">
      <c r="B23" s="3" t="s">
        <v>355</v>
      </c>
      <c r="C23" s="35" t="n">
        <f aca="false">3_Column!$C$6</f>
        <v>25.1328633889533</v>
      </c>
      <c r="D23" s="9" t="s">
        <v>204</v>
      </c>
      <c r="E23" s="15" t="s">
        <v>209</v>
      </c>
    </row>
    <row r="24" customFormat="false" ht="15" hidden="false" customHeight="false" outlineLevel="0" collapsed="false">
      <c r="B24" s="3" t="s">
        <v>356</v>
      </c>
      <c r="C24" s="35" t="n">
        <f aca="false">3_Column!$C$7</f>
        <v>61.4370834459882</v>
      </c>
      <c r="D24" s="9" t="s">
        <v>204</v>
      </c>
      <c r="E24" s="15"/>
    </row>
    <row r="25" customFormat="false" ht="15" hidden="false" customHeight="false" outlineLevel="0" collapsed="false">
      <c r="B25" s="3" t="s">
        <v>357</v>
      </c>
      <c r="C25" s="35" t="n">
        <f aca="false">3_Column!$C$15*1000</f>
        <v>250</v>
      </c>
      <c r="D25" s="9" t="s">
        <v>358</v>
      </c>
      <c r="E25" s="15" t="s">
        <v>359</v>
      </c>
    </row>
    <row r="26" customFormat="false" ht="15" hidden="false" customHeight="false" outlineLevel="0" collapsed="false">
      <c r="B26" s="3" t="s">
        <v>235</v>
      </c>
      <c r="C26" s="35" t="n">
        <f aca="false">3_Column!$C$25*1000</f>
        <v>1700.24071875355</v>
      </c>
      <c r="D26" s="9" t="s">
        <v>358</v>
      </c>
      <c r="E26" s="15"/>
    </row>
    <row r="27" customFormat="false" ht="15" hidden="false" customHeight="false" outlineLevel="0" collapsed="false">
      <c r="B27" s="3" t="s">
        <v>360</v>
      </c>
      <c r="C27" s="35" t="n">
        <f aca="false">3_Column!$C$26*1000</f>
        <v>2100.24071875355</v>
      </c>
      <c r="D27" s="9" t="s">
        <v>358</v>
      </c>
      <c r="E27" s="15" t="s">
        <v>361</v>
      </c>
    </row>
    <row r="28" customFormat="false" ht="15" hidden="false" customHeight="false" outlineLevel="0" collapsed="false">
      <c r="B28" s="3" t="s">
        <v>239</v>
      </c>
      <c r="C28" s="35" t="n">
        <f aca="false">3_Column!$C$26/3_Column!$C$15</f>
        <v>8.4009628750142</v>
      </c>
      <c r="D28" s="9" t="s">
        <v>93</v>
      </c>
      <c r="E28" s="15"/>
    </row>
    <row r="29" customFormat="false" ht="15" hidden="false" customHeight="false" outlineLevel="0" collapsed="false">
      <c r="B29" s="3" t="s">
        <v>362</v>
      </c>
      <c r="C29" s="35" t="n">
        <f aca="false">3_Column!$C$17</f>
        <v>0.20117887152018</v>
      </c>
      <c r="D29" s="9" t="s">
        <v>214</v>
      </c>
      <c r="E29" s="15" t="s">
        <v>363</v>
      </c>
    </row>
    <row r="30" customFormat="false" ht="15" hidden="false" customHeight="false" outlineLevel="0" collapsed="false">
      <c r="B30" s="3" t="s">
        <v>364</v>
      </c>
      <c r="C30" s="35" t="n">
        <f aca="false">3_Column!$C$35</f>
        <v>0.0616574397179092</v>
      </c>
      <c r="D30" s="9" t="s">
        <v>250</v>
      </c>
      <c r="E30" s="15" t="s">
        <v>365</v>
      </c>
    </row>
    <row r="31" customFormat="false" ht="15" hidden="false" customHeight="false" outlineLevel="0" collapsed="false">
      <c r="B31" s="3" t="s">
        <v>255</v>
      </c>
      <c r="C31" s="35" t="n">
        <f aca="false">3_Column!$C$40</f>
        <v>7.5</v>
      </c>
      <c r="D31" s="9" t="s">
        <v>65</v>
      </c>
      <c r="E31" s="15" t="s">
        <v>366</v>
      </c>
    </row>
    <row r="32" customFormat="false" ht="15" hidden="false" customHeight="false" outlineLevel="0" collapsed="false">
      <c r="B32" s="3" t="s">
        <v>367</v>
      </c>
      <c r="C32" s="40" t="s">
        <v>368</v>
      </c>
      <c r="D32" s="9" t="s">
        <v>93</v>
      </c>
      <c r="E32" s="15" t="s">
        <v>369</v>
      </c>
    </row>
    <row r="34" customFormat="false" ht="21.75" hidden="false" customHeight="true" outlineLevel="0" collapsed="false">
      <c r="A34" s="4" t="s">
        <v>370</v>
      </c>
      <c r="B34" s="4"/>
      <c r="C34" s="4"/>
      <c r="D34" s="4"/>
      <c r="E34" s="4"/>
    </row>
    <row r="35" customFormat="false" ht="15" hidden="false" customHeight="false" outlineLevel="0" collapsed="false">
      <c r="A35" s="5"/>
      <c r="B35" s="5" t="s">
        <v>371</v>
      </c>
      <c r="C35" s="5" t="s">
        <v>58</v>
      </c>
      <c r="D35" s="5" t="s">
        <v>59</v>
      </c>
      <c r="E35" s="5" t="s">
        <v>149</v>
      </c>
    </row>
    <row r="36" customFormat="false" ht="15" hidden="false" customHeight="false" outlineLevel="0" collapsed="false">
      <c r="B36" s="3" t="s">
        <v>372</v>
      </c>
      <c r="C36" s="35" t="n">
        <f aca="false">5_Compressor!$C$20</f>
        <v>27.5</v>
      </c>
      <c r="D36" s="9" t="s">
        <v>284</v>
      </c>
      <c r="E36" s="15" t="s">
        <v>373</v>
      </c>
    </row>
    <row r="37" customFormat="false" ht="15" hidden="false" customHeight="false" outlineLevel="0" collapsed="false">
      <c r="B37" s="3" t="s">
        <v>374</v>
      </c>
      <c r="C37" s="35" t="n">
        <f aca="false">5_Compressor!$C$7</f>
        <v>6.92153960029608</v>
      </c>
      <c r="D37" s="9" t="s">
        <v>93</v>
      </c>
      <c r="E37" s="15"/>
    </row>
    <row r="38" customFormat="false" ht="15" hidden="false" customHeight="false" outlineLevel="0" collapsed="false">
      <c r="B38" s="3" t="s">
        <v>375</v>
      </c>
      <c r="C38" s="35" t="n">
        <f aca="false">5_Compressor!$C$25</f>
        <v>236.354254792771</v>
      </c>
      <c r="D38" s="9" t="s">
        <v>71</v>
      </c>
      <c r="E38" s="15" t="s">
        <v>376</v>
      </c>
    </row>
    <row r="39" customFormat="false" ht="15" hidden="false" customHeight="false" outlineLevel="0" collapsed="false">
      <c r="B39" s="3" t="s">
        <v>377</v>
      </c>
      <c r="C39" s="35" t="n">
        <f aca="false">4_Regeneration!$C$24</f>
        <v>5</v>
      </c>
      <c r="D39" s="9" t="s">
        <v>284</v>
      </c>
      <c r="E39" s="17" t="s">
        <v>378</v>
      </c>
    </row>
    <row r="40" customFormat="false" ht="15" hidden="false" customHeight="false" outlineLevel="0" collapsed="false">
      <c r="B40" s="3" t="s">
        <v>379</v>
      </c>
      <c r="C40" s="35" t="n">
        <f aca="false">1_Inputs!$C$14</f>
        <v>2</v>
      </c>
      <c r="D40" s="9" t="s">
        <v>84</v>
      </c>
      <c r="E40" s="15"/>
    </row>
    <row r="41" customFormat="false" ht="15" hidden="false" customHeight="false" outlineLevel="0" collapsed="false">
      <c r="B41" s="3" t="s">
        <v>380</v>
      </c>
      <c r="C41" s="35" t="n">
        <f aca="false">4_Regeneration!$C$21</f>
        <v>7.59012016314371</v>
      </c>
      <c r="D41" s="9" t="s">
        <v>281</v>
      </c>
      <c r="E41" s="15"/>
    </row>
    <row r="42" customFormat="false" ht="15" hidden="false" customHeight="false" outlineLevel="0" collapsed="false">
      <c r="B42" s="3" t="s">
        <v>381</v>
      </c>
      <c r="C42" s="40" t="n">
        <v>2</v>
      </c>
      <c r="D42" s="9" t="s">
        <v>382</v>
      </c>
      <c r="E42" s="15" t="s">
        <v>383</v>
      </c>
    </row>
    <row r="43" customFormat="false" ht="15" hidden="false" customHeight="false" outlineLevel="0" collapsed="false">
      <c r="B43" s="3" t="s">
        <v>384</v>
      </c>
      <c r="C43" s="40" t="s">
        <v>385</v>
      </c>
      <c r="D43" s="9" t="s">
        <v>382</v>
      </c>
      <c r="E43" s="17" t="s">
        <v>386</v>
      </c>
    </row>
    <row r="46" customFormat="false" ht="21.75" hidden="false" customHeight="true" outlineLevel="0" collapsed="false">
      <c r="A46" s="4" t="s">
        <v>387</v>
      </c>
      <c r="B46" s="4"/>
      <c r="C46" s="4"/>
      <c r="D46" s="4"/>
      <c r="E46" s="4"/>
    </row>
    <row r="47" customFormat="false" ht="15" hidden="false" customHeight="false" outlineLevel="0" collapsed="false">
      <c r="A47" s="5"/>
      <c r="B47" s="5" t="s">
        <v>388</v>
      </c>
      <c r="C47" s="5" t="s">
        <v>389</v>
      </c>
      <c r="D47" s="5" t="s">
        <v>390</v>
      </c>
      <c r="E47" s="5" t="s">
        <v>391</v>
      </c>
    </row>
    <row r="48" customFormat="false" ht="15" hidden="false" customHeight="false" outlineLevel="0" collapsed="false">
      <c r="B48" s="3" t="s">
        <v>392</v>
      </c>
      <c r="C48" s="22" t="n">
        <f aca="false">3_Column!$C$17</f>
        <v>0.20117887152018</v>
      </c>
      <c r="D48" s="10" t="str">
        <f aca="false">IF(AND(3_Column!$C$17&gt;=0.15,3_Column!$C$17&lt;=0.25),"PASS","CHECK")</f>
        <v>PASS</v>
      </c>
      <c r="E48" s="15" t="s">
        <v>393</v>
      </c>
    </row>
    <row r="49" customFormat="false" ht="15" hidden="false" customHeight="false" outlineLevel="0" collapsed="false">
      <c r="B49" s="3" t="s">
        <v>394</v>
      </c>
      <c r="C49" s="22" t="n">
        <f aca="false">3_Column!$C$26/3_Column!$C$15</f>
        <v>8.4009628750142</v>
      </c>
      <c r="D49" s="10" t="str">
        <f aca="false">IF(AND((3_Column!$C$26/3_Column!$C$15)&gt;=3,(3_Column!$C$26/3_Column!$C$15)&lt;=10),"PASS","CHECK")</f>
        <v>PASS</v>
      </c>
      <c r="E49" s="15" t="s">
        <v>395</v>
      </c>
    </row>
    <row r="50" customFormat="false" ht="15" hidden="false" customHeight="false" outlineLevel="0" collapsed="false">
      <c r="B50" s="3" t="s">
        <v>396</v>
      </c>
      <c r="C50" s="22" t="n">
        <f aca="false">3_Column!$C$35</f>
        <v>0.0616574397179092</v>
      </c>
      <c r="D50" s="10" t="str">
        <f aca="false">IF(3_Column!$C$35&lt;0.5,"PASS","CHECK")</f>
        <v>PASS</v>
      </c>
      <c r="E50" s="15" t="s">
        <v>397</v>
      </c>
    </row>
    <row r="51" customFormat="false" ht="15" hidden="false" customHeight="false" outlineLevel="0" collapsed="false">
      <c r="B51" s="3" t="s">
        <v>398</v>
      </c>
      <c r="C51" s="22" t="n">
        <f aca="false">5_Compressor!$C$25</f>
        <v>236.354254792771</v>
      </c>
      <c r="D51" s="10" t="str">
        <f aca="false">IF(5_Compressor!$C$25&lt;180,"PASS","CHECK")</f>
        <v>CHECK</v>
      </c>
      <c r="E51" s="15" t="s">
        <v>399</v>
      </c>
    </row>
  </sheetData>
  <mergeCells count="6">
    <mergeCell ref="A1:E1"/>
    <mergeCell ref="A3:E3"/>
    <mergeCell ref="A13:E13"/>
    <mergeCell ref="A20:E20"/>
    <mergeCell ref="A34:E34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2026-05-06T08:53:18Z</dcterms:created>
  <dc:creator>openpyxl</dc:creator>
  <dc:description/>
  <dc:language>en-US</dc:language>
  <cp:lastModifiedBy/>
  <dcterms:modified xsi:type="dcterms:W3CDTF">2026-05-06T08:53:18Z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